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rish Patil\OneDrive\Documents\Projects\Excel\"/>
    </mc:Choice>
  </mc:AlternateContent>
  <xr:revisionPtr revIDLastSave="0" documentId="13_ncr:1_{08EAC78B-A8B0-4AF5-8121-4875EE771280}" xr6:coauthVersionLast="47" xr6:coauthVersionMax="47" xr10:uidLastSave="{00000000-0000-0000-0000-000000000000}"/>
  <bookViews>
    <workbookView xWindow="-120" yWindow="-120" windowWidth="20730" windowHeight="11160" firstSheet="3" activeTab="7" xr2:uid="{00000000-000D-0000-FFFF-FFFF00000000}"/>
  </bookViews>
  <sheets>
    <sheet name="Raw_Data_Reqs" sheetId="1" r:id="rId1"/>
    <sheet name="Raw_Data_Candidates" sheetId="2" r:id="rId2"/>
    <sheet name="Raw_Data_Activities" sheetId="3" r:id="rId3"/>
    <sheet name="Lookup_Tables" sheetId="4" r:id="rId4"/>
    <sheet name="Data_Model" sheetId="6" r:id="rId5"/>
    <sheet name="Pivot_Backend" sheetId="8" r:id="rId6"/>
    <sheet name="Pivot_Charts" sheetId="11" r:id="rId7"/>
    <sheet name="Dashboard" sheetId="10" r:id="rId8"/>
  </sheets>
  <definedNames>
    <definedName name="Slicer_Recruiter">#N/A</definedName>
    <definedName name="Slicer_Sourc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6" l="1"/>
  <c r="G3" i="10" s="1"/>
  <c r="B3" i="10"/>
  <c r="B7" i="10"/>
  <c r="G7" i="10"/>
  <c r="J2" i="6"/>
  <c r="M2" i="6" s="1"/>
  <c r="J3" i="6"/>
  <c r="M3" i="6" s="1"/>
  <c r="J4" i="6"/>
  <c r="M4" i="6" s="1"/>
  <c r="J5" i="6"/>
  <c r="M5" i="6" s="1"/>
  <c r="J6" i="6"/>
  <c r="M6" i="6" s="1"/>
  <c r="J7" i="6"/>
  <c r="M7" i="6" s="1"/>
  <c r="J8" i="6"/>
  <c r="M8" i="6" s="1"/>
  <c r="J9" i="6"/>
  <c r="M9" i="6" s="1"/>
  <c r="J10" i="6"/>
  <c r="M10" i="6" s="1"/>
  <c r="J11" i="6"/>
  <c r="M11" i="6" s="1"/>
  <c r="J12" i="6"/>
  <c r="M12" i="6" s="1"/>
  <c r="J13" i="6"/>
  <c r="M13" i="6" s="1"/>
  <c r="J14" i="6"/>
  <c r="M14" i="6" s="1"/>
  <c r="J15" i="6"/>
  <c r="M15" i="6" s="1"/>
  <c r="J16" i="6"/>
  <c r="M16" i="6" s="1"/>
  <c r="J17" i="6"/>
  <c r="M17" i="6" s="1"/>
  <c r="J18" i="6"/>
  <c r="M18" i="6" s="1"/>
  <c r="J19" i="6"/>
  <c r="M19" i="6" s="1"/>
  <c r="J20" i="6"/>
  <c r="M20" i="6" s="1"/>
  <c r="J21" i="6"/>
  <c r="M21" i="6" s="1"/>
  <c r="J22" i="6"/>
  <c r="M22" i="6" s="1"/>
  <c r="J23" i="6"/>
  <c r="M23" i="6" s="1"/>
  <c r="J24" i="6"/>
  <c r="M24" i="6" s="1"/>
  <c r="J25" i="6"/>
  <c r="M25" i="6" s="1"/>
  <c r="J26" i="6"/>
  <c r="M26" i="6" s="1"/>
  <c r="J27" i="6"/>
  <c r="M27" i="6" s="1"/>
  <c r="J28" i="6"/>
  <c r="M28" i="6" s="1"/>
  <c r="J29" i="6"/>
  <c r="M29" i="6" s="1"/>
  <c r="J30" i="6"/>
  <c r="M30" i="6" s="1"/>
  <c r="J31" i="6"/>
  <c r="M31" i="6" s="1"/>
  <c r="J32" i="6"/>
  <c r="M32" i="6" s="1"/>
  <c r="J33" i="6"/>
  <c r="M33" i="6" s="1"/>
  <c r="J34" i="6"/>
  <c r="M34" i="6" s="1"/>
  <c r="J35" i="6"/>
  <c r="M35" i="6" s="1"/>
  <c r="J36" i="6"/>
  <c r="M36" i="6" s="1"/>
  <c r="J37" i="6"/>
  <c r="M37" i="6" s="1"/>
  <c r="J38" i="6"/>
  <c r="M38" i="6" s="1"/>
  <c r="J39" i="6"/>
  <c r="M39" i="6" s="1"/>
  <c r="J40" i="6"/>
  <c r="M40" i="6" s="1"/>
  <c r="J41" i="6"/>
  <c r="M41" i="6" s="1"/>
  <c r="J42" i="6"/>
  <c r="M42" i="6" s="1"/>
  <c r="J43" i="6"/>
  <c r="M43" i="6" s="1"/>
  <c r="J44" i="6"/>
  <c r="M44" i="6" s="1"/>
  <c r="J45" i="6"/>
  <c r="M45" i="6" s="1"/>
  <c r="J46" i="6"/>
  <c r="M46" i="6" s="1"/>
  <c r="J47" i="6"/>
  <c r="M47" i="6" s="1"/>
  <c r="J48" i="6"/>
  <c r="M48" i="6" s="1"/>
  <c r="J49" i="6"/>
  <c r="M49" i="6" s="1"/>
  <c r="J50" i="6"/>
  <c r="M50" i="6" s="1"/>
  <c r="J51" i="6"/>
  <c r="M51" i="6" s="1"/>
  <c r="J52" i="6"/>
  <c r="M52" i="6" s="1"/>
  <c r="J53" i="6"/>
  <c r="M53" i="6" s="1"/>
  <c r="J54" i="6"/>
  <c r="M54" i="6" s="1"/>
  <c r="J55" i="6"/>
  <c r="M55" i="6" s="1"/>
  <c r="J56" i="6"/>
  <c r="M56" i="6" s="1"/>
  <c r="J57" i="6"/>
  <c r="M57" i="6" s="1"/>
  <c r="J58" i="6"/>
  <c r="M58" i="6" s="1"/>
  <c r="J59" i="6"/>
  <c r="M59" i="6" s="1"/>
  <c r="J60" i="6"/>
  <c r="M60" i="6" s="1"/>
  <c r="J61" i="6"/>
  <c r="M61" i="6" s="1"/>
  <c r="J62" i="6"/>
  <c r="M62" i="6" s="1"/>
  <c r="J63" i="6"/>
  <c r="M63" i="6" s="1"/>
  <c r="J64" i="6"/>
  <c r="M64" i="6" s="1"/>
  <c r="J65" i="6"/>
  <c r="M65" i="6" s="1"/>
  <c r="J66" i="6"/>
  <c r="M66" i="6" s="1"/>
  <c r="J67" i="6"/>
  <c r="M67" i="6" s="1"/>
  <c r="J68" i="6"/>
  <c r="M68" i="6" s="1"/>
  <c r="J69" i="6"/>
  <c r="M69" i="6" s="1"/>
  <c r="J70" i="6"/>
  <c r="M70" i="6" s="1"/>
  <c r="J71" i="6"/>
  <c r="M71" i="6" s="1"/>
  <c r="J72" i="6"/>
  <c r="M72" i="6" s="1"/>
  <c r="J73" i="6"/>
  <c r="M73" i="6" s="1"/>
  <c r="J74" i="6"/>
  <c r="M74" i="6" s="1"/>
  <c r="J75" i="6"/>
  <c r="M75" i="6" s="1"/>
  <c r="J76" i="6"/>
  <c r="M76" i="6" s="1"/>
  <c r="J77" i="6"/>
  <c r="M77" i="6" s="1"/>
  <c r="J78" i="6"/>
  <c r="M78" i="6" s="1"/>
  <c r="J79" i="6"/>
  <c r="M79" i="6" s="1"/>
  <c r="J80" i="6"/>
  <c r="M80" i="6" s="1"/>
  <c r="J81" i="6"/>
  <c r="M81" i="6" s="1"/>
  <c r="J82" i="6"/>
  <c r="M82" i="6" s="1"/>
  <c r="J83" i="6"/>
  <c r="M83" i="6" s="1"/>
  <c r="J84" i="6"/>
  <c r="M84" i="6" s="1"/>
  <c r="J85" i="6"/>
  <c r="M85" i="6" s="1"/>
  <c r="J86" i="6"/>
  <c r="M86" i="6" s="1"/>
  <c r="J87" i="6"/>
  <c r="M87" i="6" s="1"/>
  <c r="J88" i="6"/>
  <c r="M88" i="6" s="1"/>
  <c r="J89" i="6"/>
  <c r="M89" i="6" s="1"/>
  <c r="J90" i="6"/>
  <c r="M90" i="6" s="1"/>
  <c r="J91" i="6"/>
  <c r="M91" i="6" s="1"/>
  <c r="J92" i="6"/>
  <c r="M92" i="6" s="1"/>
  <c r="J93" i="6"/>
  <c r="M93" i="6" s="1"/>
  <c r="J94" i="6"/>
  <c r="M94" i="6" s="1"/>
  <c r="J95" i="6"/>
  <c r="M95" i="6" s="1"/>
  <c r="J96" i="6"/>
  <c r="M96" i="6" s="1"/>
  <c r="J97" i="6"/>
  <c r="M97" i="6" s="1"/>
  <c r="J98" i="6"/>
  <c r="M98" i="6" s="1"/>
  <c r="J99" i="6"/>
  <c r="M99" i="6" s="1"/>
  <c r="J100" i="6"/>
  <c r="M100" i="6" s="1"/>
  <c r="J101" i="6"/>
  <c r="M101" i="6" s="1"/>
  <c r="J102" i="6"/>
  <c r="M102" i="6" s="1"/>
  <c r="J103" i="6"/>
  <c r="M103" i="6" s="1"/>
  <c r="J104" i="6"/>
  <c r="M104" i="6" s="1"/>
  <c r="J105" i="6"/>
  <c r="M105" i="6" s="1"/>
  <c r="J106" i="6"/>
  <c r="M106" i="6" s="1"/>
  <c r="J107" i="6"/>
  <c r="M107" i="6" s="1"/>
  <c r="J108" i="6"/>
  <c r="M108" i="6" s="1"/>
  <c r="J109" i="6"/>
  <c r="M109" i="6" s="1"/>
  <c r="J110" i="6"/>
  <c r="M110" i="6" s="1"/>
  <c r="J111" i="6"/>
  <c r="M111" i="6" s="1"/>
  <c r="J112" i="6"/>
  <c r="M112" i="6" s="1"/>
  <c r="J113" i="6"/>
  <c r="M113" i="6" s="1"/>
  <c r="J114" i="6"/>
  <c r="M114" i="6" s="1"/>
  <c r="J115" i="6"/>
  <c r="M115" i="6" s="1"/>
  <c r="J116" i="6"/>
  <c r="M116" i="6" s="1"/>
  <c r="J117" i="6"/>
  <c r="M117" i="6" s="1"/>
  <c r="J118" i="6"/>
  <c r="M118" i="6" s="1"/>
  <c r="J119" i="6"/>
  <c r="M119" i="6" s="1"/>
  <c r="J120" i="6"/>
  <c r="M120" i="6" s="1"/>
  <c r="J121" i="6"/>
  <c r="M121" i="6" s="1"/>
  <c r="J122" i="6"/>
  <c r="M122" i="6" s="1"/>
  <c r="J123" i="6"/>
  <c r="M123" i="6" s="1"/>
  <c r="J124" i="6"/>
  <c r="M124" i="6" s="1"/>
  <c r="J125" i="6"/>
  <c r="M125" i="6" s="1"/>
  <c r="J126" i="6"/>
  <c r="M126" i="6" s="1"/>
  <c r="J127" i="6"/>
  <c r="M127" i="6" s="1"/>
  <c r="J128" i="6"/>
  <c r="M128" i="6" s="1"/>
  <c r="J129" i="6"/>
  <c r="M129" i="6" s="1"/>
  <c r="J130" i="6"/>
  <c r="M130" i="6" s="1"/>
  <c r="J131" i="6"/>
  <c r="M131" i="6" s="1"/>
  <c r="J132" i="6"/>
  <c r="M132" i="6" s="1"/>
  <c r="J133" i="6"/>
  <c r="M133" i="6" s="1"/>
  <c r="J134" i="6"/>
  <c r="M134" i="6" s="1"/>
  <c r="J135" i="6"/>
  <c r="M135" i="6" s="1"/>
  <c r="J136" i="6"/>
  <c r="M136" i="6" s="1"/>
  <c r="J137" i="6"/>
  <c r="M137" i="6" s="1"/>
  <c r="J138" i="6"/>
  <c r="M138" i="6" s="1"/>
  <c r="J139" i="6"/>
  <c r="M139" i="6" s="1"/>
  <c r="J140" i="6"/>
  <c r="M140" i="6" s="1"/>
  <c r="J141" i="6"/>
  <c r="M141" i="6" s="1"/>
  <c r="J142" i="6"/>
  <c r="M142" i="6" s="1"/>
  <c r="J143" i="6"/>
  <c r="M143" i="6" s="1"/>
  <c r="J144" i="6"/>
  <c r="M144" i="6" s="1"/>
  <c r="J145" i="6"/>
  <c r="M145" i="6" s="1"/>
  <c r="J146" i="6"/>
  <c r="M146" i="6" s="1"/>
  <c r="J147" i="6"/>
  <c r="M147" i="6" s="1"/>
  <c r="J148" i="6"/>
  <c r="M148" i="6" s="1"/>
  <c r="J149" i="6"/>
  <c r="M149" i="6" s="1"/>
  <c r="J150" i="6"/>
  <c r="M150" i="6" s="1"/>
  <c r="J151" i="6"/>
  <c r="M151" i="6" s="1"/>
  <c r="J152" i="6"/>
  <c r="M152" i="6" s="1"/>
  <c r="J153" i="6"/>
  <c r="M153" i="6" s="1"/>
  <c r="J154" i="6"/>
  <c r="M154" i="6" s="1"/>
  <c r="J155" i="6"/>
  <c r="M155" i="6" s="1"/>
  <c r="J156" i="6"/>
  <c r="M156" i="6" s="1"/>
  <c r="J157" i="6"/>
  <c r="M157" i="6" s="1"/>
  <c r="J158" i="6"/>
  <c r="M158" i="6" s="1"/>
  <c r="J159" i="6"/>
  <c r="M159" i="6" s="1"/>
  <c r="J160" i="6"/>
  <c r="M160" i="6" s="1"/>
  <c r="J161" i="6"/>
  <c r="M161" i="6" s="1"/>
  <c r="J162" i="6"/>
  <c r="M162" i="6" s="1"/>
  <c r="J163" i="6"/>
  <c r="M163" i="6" s="1"/>
  <c r="J164" i="6"/>
  <c r="M164" i="6" s="1"/>
  <c r="J165" i="6"/>
  <c r="M165" i="6" s="1"/>
  <c r="J166" i="6"/>
  <c r="M166" i="6" s="1"/>
  <c r="J167" i="6"/>
  <c r="M167" i="6" s="1"/>
  <c r="J168" i="6"/>
  <c r="M168" i="6" s="1"/>
  <c r="J169" i="6"/>
  <c r="M169" i="6" s="1"/>
  <c r="J170" i="6"/>
  <c r="M170" i="6" s="1"/>
  <c r="J171" i="6"/>
  <c r="M171" i="6" s="1"/>
  <c r="J172" i="6"/>
  <c r="M172" i="6" s="1"/>
  <c r="J173" i="6"/>
  <c r="M173" i="6" s="1"/>
  <c r="J174" i="6"/>
  <c r="M174" i="6" s="1"/>
  <c r="J175" i="6"/>
  <c r="M175" i="6" s="1"/>
  <c r="J176" i="6"/>
  <c r="M176" i="6" s="1"/>
  <c r="J177" i="6"/>
  <c r="M177" i="6" s="1"/>
  <c r="J178" i="6"/>
  <c r="M178" i="6" s="1"/>
  <c r="J179" i="6"/>
  <c r="M179" i="6" s="1"/>
  <c r="J180" i="6"/>
  <c r="M180" i="6" s="1"/>
  <c r="J181" i="6"/>
  <c r="M181" i="6" s="1"/>
  <c r="J182" i="6"/>
  <c r="M182" i="6" s="1"/>
  <c r="J183" i="6"/>
  <c r="M183" i="6" s="1"/>
  <c r="J184" i="6"/>
  <c r="M184" i="6" s="1"/>
  <c r="J185" i="6"/>
  <c r="M185" i="6" s="1"/>
  <c r="J186" i="6"/>
  <c r="M186" i="6" s="1"/>
  <c r="J187" i="6"/>
  <c r="M187" i="6" s="1"/>
  <c r="J188" i="6"/>
  <c r="M188" i="6" s="1"/>
  <c r="J189" i="6"/>
  <c r="M189" i="6" s="1"/>
  <c r="J190" i="6"/>
  <c r="M190" i="6" s="1"/>
  <c r="J191" i="6"/>
  <c r="M191" i="6" s="1"/>
  <c r="J192" i="6"/>
  <c r="M192" i="6" s="1"/>
  <c r="J193" i="6"/>
  <c r="M193" i="6" s="1"/>
  <c r="J194" i="6"/>
  <c r="M194" i="6" s="1"/>
  <c r="J195" i="6"/>
  <c r="M195" i="6" s="1"/>
  <c r="J196" i="6"/>
  <c r="M196" i="6" s="1"/>
  <c r="J197" i="6"/>
  <c r="M197" i="6" s="1"/>
  <c r="J198" i="6"/>
  <c r="M198" i="6" s="1"/>
  <c r="J199" i="6"/>
  <c r="M199" i="6" s="1"/>
  <c r="J200" i="6"/>
  <c r="M200" i="6" s="1"/>
  <c r="J201" i="6"/>
  <c r="M201" i="6" s="1"/>
  <c r="I2" i="6"/>
  <c r="I3" i="6"/>
  <c r="I4" i="6"/>
  <c r="I5" i="6"/>
  <c r="I6" i="6"/>
  <c r="P6" i="6" s="1"/>
  <c r="I7" i="6"/>
  <c r="I8" i="6"/>
  <c r="I9" i="6"/>
  <c r="I10" i="6"/>
  <c r="P10" i="6" s="1"/>
  <c r="I11" i="6"/>
  <c r="I12" i="6"/>
  <c r="I13" i="6"/>
  <c r="I14" i="6"/>
  <c r="I15" i="6"/>
  <c r="I16" i="6"/>
  <c r="I17" i="6"/>
  <c r="I18" i="6"/>
  <c r="I19" i="6"/>
  <c r="I20" i="6"/>
  <c r="I21" i="6"/>
  <c r="I22" i="6"/>
  <c r="P22" i="6" s="1"/>
  <c r="I23" i="6"/>
  <c r="I24" i="6"/>
  <c r="I25" i="6"/>
  <c r="I26" i="6"/>
  <c r="P26" i="6" s="1"/>
  <c r="I27" i="6"/>
  <c r="I28" i="6"/>
  <c r="I29" i="6"/>
  <c r="I30" i="6"/>
  <c r="I31" i="6"/>
  <c r="I32" i="6"/>
  <c r="I33" i="6"/>
  <c r="I34" i="6"/>
  <c r="I35" i="6"/>
  <c r="I36" i="6"/>
  <c r="I37" i="6"/>
  <c r="I38" i="6"/>
  <c r="P38" i="6" s="1"/>
  <c r="I39" i="6"/>
  <c r="I40" i="6"/>
  <c r="I41" i="6"/>
  <c r="I42" i="6"/>
  <c r="P42" i="6" s="1"/>
  <c r="I43" i="6"/>
  <c r="I44" i="6"/>
  <c r="I45" i="6"/>
  <c r="I46" i="6"/>
  <c r="I47" i="6"/>
  <c r="I48" i="6"/>
  <c r="I49" i="6"/>
  <c r="I50" i="6"/>
  <c r="I51" i="6"/>
  <c r="I52" i="6"/>
  <c r="I53" i="6"/>
  <c r="I54" i="6"/>
  <c r="P54" i="6" s="1"/>
  <c r="I55" i="6"/>
  <c r="I56" i="6"/>
  <c r="I57" i="6"/>
  <c r="I58" i="6"/>
  <c r="P58" i="6" s="1"/>
  <c r="I59" i="6"/>
  <c r="I60" i="6"/>
  <c r="I61" i="6"/>
  <c r="I62" i="6"/>
  <c r="I63" i="6"/>
  <c r="I64" i="6"/>
  <c r="I65" i="6"/>
  <c r="I66" i="6"/>
  <c r="I67" i="6"/>
  <c r="I68" i="6"/>
  <c r="I69" i="6"/>
  <c r="I70" i="6"/>
  <c r="P70" i="6" s="1"/>
  <c r="I71" i="6"/>
  <c r="I72" i="6"/>
  <c r="I73" i="6"/>
  <c r="I74" i="6"/>
  <c r="P74" i="6" s="1"/>
  <c r="I75" i="6"/>
  <c r="I76" i="6"/>
  <c r="I77" i="6"/>
  <c r="I78" i="6"/>
  <c r="I79" i="6"/>
  <c r="I80" i="6"/>
  <c r="I81" i="6"/>
  <c r="I82" i="6"/>
  <c r="I83" i="6"/>
  <c r="I84" i="6"/>
  <c r="I85" i="6"/>
  <c r="I86" i="6"/>
  <c r="P86" i="6" s="1"/>
  <c r="I87" i="6"/>
  <c r="I88" i="6"/>
  <c r="I89" i="6"/>
  <c r="I90" i="6"/>
  <c r="P90" i="6" s="1"/>
  <c r="I91" i="6"/>
  <c r="I92" i="6"/>
  <c r="I93" i="6"/>
  <c r="I94" i="6"/>
  <c r="I95" i="6"/>
  <c r="I96" i="6"/>
  <c r="I97" i="6"/>
  <c r="I98" i="6"/>
  <c r="I99" i="6"/>
  <c r="I100" i="6"/>
  <c r="I101" i="6"/>
  <c r="I102" i="6"/>
  <c r="P102" i="6" s="1"/>
  <c r="I103" i="6"/>
  <c r="I104" i="6"/>
  <c r="I105" i="6"/>
  <c r="I106" i="6"/>
  <c r="P106" i="6" s="1"/>
  <c r="I107" i="6"/>
  <c r="I108" i="6"/>
  <c r="I109" i="6"/>
  <c r="I110" i="6"/>
  <c r="I111" i="6"/>
  <c r="I112" i="6"/>
  <c r="I113" i="6"/>
  <c r="I114" i="6"/>
  <c r="I115" i="6"/>
  <c r="I116" i="6"/>
  <c r="I117" i="6"/>
  <c r="I118" i="6"/>
  <c r="P118" i="6" s="1"/>
  <c r="I119" i="6"/>
  <c r="I120" i="6"/>
  <c r="I121" i="6"/>
  <c r="I122" i="6"/>
  <c r="P122" i="6" s="1"/>
  <c r="I123" i="6"/>
  <c r="I124" i="6"/>
  <c r="I125" i="6"/>
  <c r="I126" i="6"/>
  <c r="I127" i="6"/>
  <c r="I128" i="6"/>
  <c r="I129" i="6"/>
  <c r="I130" i="6"/>
  <c r="I131" i="6"/>
  <c r="I132" i="6"/>
  <c r="I133" i="6"/>
  <c r="I134" i="6"/>
  <c r="P134" i="6" s="1"/>
  <c r="I135" i="6"/>
  <c r="I136" i="6"/>
  <c r="I137" i="6"/>
  <c r="I138" i="6"/>
  <c r="P138" i="6" s="1"/>
  <c r="I139" i="6"/>
  <c r="I140" i="6"/>
  <c r="I141" i="6"/>
  <c r="I142" i="6"/>
  <c r="I143" i="6"/>
  <c r="I144" i="6"/>
  <c r="I145" i="6"/>
  <c r="I146" i="6"/>
  <c r="I147" i="6"/>
  <c r="I148" i="6"/>
  <c r="I149" i="6"/>
  <c r="I150" i="6"/>
  <c r="P150" i="6" s="1"/>
  <c r="I151" i="6"/>
  <c r="I152" i="6"/>
  <c r="I153" i="6"/>
  <c r="I154" i="6"/>
  <c r="P154" i="6" s="1"/>
  <c r="I155" i="6"/>
  <c r="I156" i="6"/>
  <c r="I157" i="6"/>
  <c r="I158" i="6"/>
  <c r="I159" i="6"/>
  <c r="I160" i="6"/>
  <c r="I161" i="6"/>
  <c r="I162" i="6"/>
  <c r="I163" i="6"/>
  <c r="I164" i="6"/>
  <c r="I165" i="6"/>
  <c r="I166" i="6"/>
  <c r="P166" i="6" s="1"/>
  <c r="I167" i="6"/>
  <c r="I168" i="6"/>
  <c r="I169" i="6"/>
  <c r="I170" i="6"/>
  <c r="P170" i="6" s="1"/>
  <c r="I171" i="6"/>
  <c r="I172" i="6"/>
  <c r="I173" i="6"/>
  <c r="I174" i="6"/>
  <c r="I175" i="6"/>
  <c r="I176" i="6"/>
  <c r="I177" i="6"/>
  <c r="I178" i="6"/>
  <c r="I179" i="6"/>
  <c r="I180" i="6"/>
  <c r="I181" i="6"/>
  <c r="I182" i="6"/>
  <c r="P182" i="6" s="1"/>
  <c r="I183" i="6"/>
  <c r="I184" i="6"/>
  <c r="I185" i="6"/>
  <c r="I186" i="6"/>
  <c r="P186" i="6" s="1"/>
  <c r="I187" i="6"/>
  <c r="I188" i="6"/>
  <c r="I189" i="6"/>
  <c r="I190" i="6"/>
  <c r="I191" i="6"/>
  <c r="L191" i="6" s="1"/>
  <c r="I192" i="6"/>
  <c r="P192" i="6" s="1"/>
  <c r="I193" i="6"/>
  <c r="I194" i="6"/>
  <c r="I195" i="6"/>
  <c r="L195" i="6" s="1"/>
  <c r="I196" i="6"/>
  <c r="I197" i="6"/>
  <c r="I198" i="6"/>
  <c r="I199" i="6"/>
  <c r="L199" i="6" s="1"/>
  <c r="I200" i="6"/>
  <c r="P200" i="6" s="1"/>
  <c r="I201" i="6"/>
  <c r="K2" i="6"/>
  <c r="K3" i="6"/>
  <c r="N3" i="6" s="1"/>
  <c r="K4" i="6"/>
  <c r="N4" i="6" s="1"/>
  <c r="K5" i="6"/>
  <c r="N5" i="6" s="1"/>
  <c r="K6" i="6"/>
  <c r="N6" i="6" s="1"/>
  <c r="K7" i="6"/>
  <c r="N7" i="6" s="1"/>
  <c r="K8" i="6"/>
  <c r="N8" i="6" s="1"/>
  <c r="K9" i="6"/>
  <c r="N9" i="6" s="1"/>
  <c r="K10" i="6"/>
  <c r="N10" i="6" s="1"/>
  <c r="K11" i="6"/>
  <c r="N11" i="6" s="1"/>
  <c r="K12" i="6"/>
  <c r="N12" i="6" s="1"/>
  <c r="K13" i="6"/>
  <c r="N13" i="6" s="1"/>
  <c r="K14" i="6"/>
  <c r="N14" i="6" s="1"/>
  <c r="K15" i="6"/>
  <c r="N15" i="6" s="1"/>
  <c r="K16" i="6"/>
  <c r="N16" i="6" s="1"/>
  <c r="K17" i="6"/>
  <c r="N17" i="6" s="1"/>
  <c r="K18" i="6"/>
  <c r="N18" i="6" s="1"/>
  <c r="K19" i="6"/>
  <c r="N19" i="6" s="1"/>
  <c r="K20" i="6"/>
  <c r="N20" i="6" s="1"/>
  <c r="K21" i="6"/>
  <c r="N21" i="6" s="1"/>
  <c r="K22" i="6"/>
  <c r="N22" i="6" s="1"/>
  <c r="K23" i="6"/>
  <c r="N23" i="6" s="1"/>
  <c r="K24" i="6"/>
  <c r="N24" i="6" s="1"/>
  <c r="K25" i="6"/>
  <c r="N25" i="6" s="1"/>
  <c r="K26" i="6"/>
  <c r="N26" i="6" s="1"/>
  <c r="K27" i="6"/>
  <c r="N27" i="6" s="1"/>
  <c r="K28" i="6"/>
  <c r="N28" i="6" s="1"/>
  <c r="K29" i="6"/>
  <c r="N29" i="6" s="1"/>
  <c r="K30" i="6"/>
  <c r="N30" i="6" s="1"/>
  <c r="K31" i="6"/>
  <c r="N31" i="6" s="1"/>
  <c r="K32" i="6"/>
  <c r="N32" i="6" s="1"/>
  <c r="K33" i="6"/>
  <c r="N33" i="6" s="1"/>
  <c r="K34" i="6"/>
  <c r="N34" i="6" s="1"/>
  <c r="K35" i="6"/>
  <c r="N35" i="6" s="1"/>
  <c r="K36" i="6"/>
  <c r="N36" i="6" s="1"/>
  <c r="K37" i="6"/>
  <c r="N37" i="6" s="1"/>
  <c r="K38" i="6"/>
  <c r="N38" i="6" s="1"/>
  <c r="K39" i="6"/>
  <c r="N39" i="6" s="1"/>
  <c r="K40" i="6"/>
  <c r="N40" i="6" s="1"/>
  <c r="K41" i="6"/>
  <c r="N41" i="6" s="1"/>
  <c r="K42" i="6"/>
  <c r="N42" i="6" s="1"/>
  <c r="K43" i="6"/>
  <c r="N43" i="6" s="1"/>
  <c r="K44" i="6"/>
  <c r="N44" i="6" s="1"/>
  <c r="K45" i="6"/>
  <c r="N45" i="6" s="1"/>
  <c r="K46" i="6"/>
  <c r="N46" i="6" s="1"/>
  <c r="K47" i="6"/>
  <c r="N47" i="6" s="1"/>
  <c r="K48" i="6"/>
  <c r="N48" i="6" s="1"/>
  <c r="K49" i="6"/>
  <c r="N49" i="6" s="1"/>
  <c r="K50" i="6"/>
  <c r="N50" i="6" s="1"/>
  <c r="K51" i="6"/>
  <c r="N51" i="6" s="1"/>
  <c r="K52" i="6"/>
  <c r="N52" i="6" s="1"/>
  <c r="K53" i="6"/>
  <c r="N53" i="6" s="1"/>
  <c r="K54" i="6"/>
  <c r="N54" i="6" s="1"/>
  <c r="K55" i="6"/>
  <c r="N55" i="6" s="1"/>
  <c r="K56" i="6"/>
  <c r="N56" i="6" s="1"/>
  <c r="K57" i="6"/>
  <c r="N57" i="6" s="1"/>
  <c r="K58" i="6"/>
  <c r="N58" i="6" s="1"/>
  <c r="K59" i="6"/>
  <c r="N59" i="6" s="1"/>
  <c r="K60" i="6"/>
  <c r="N60" i="6" s="1"/>
  <c r="K61" i="6"/>
  <c r="N61" i="6" s="1"/>
  <c r="K62" i="6"/>
  <c r="N62" i="6" s="1"/>
  <c r="K63" i="6"/>
  <c r="N63" i="6" s="1"/>
  <c r="K64" i="6"/>
  <c r="N64" i="6" s="1"/>
  <c r="K65" i="6"/>
  <c r="N65" i="6" s="1"/>
  <c r="K66" i="6"/>
  <c r="N66" i="6" s="1"/>
  <c r="K67" i="6"/>
  <c r="N67" i="6" s="1"/>
  <c r="K68" i="6"/>
  <c r="N68" i="6" s="1"/>
  <c r="K69" i="6"/>
  <c r="N69" i="6" s="1"/>
  <c r="K70" i="6"/>
  <c r="N70" i="6" s="1"/>
  <c r="K71" i="6"/>
  <c r="N71" i="6" s="1"/>
  <c r="K72" i="6"/>
  <c r="N72" i="6" s="1"/>
  <c r="K73" i="6"/>
  <c r="N73" i="6" s="1"/>
  <c r="K74" i="6"/>
  <c r="N74" i="6" s="1"/>
  <c r="K75" i="6"/>
  <c r="N75" i="6" s="1"/>
  <c r="K76" i="6"/>
  <c r="N76" i="6" s="1"/>
  <c r="K77" i="6"/>
  <c r="N77" i="6" s="1"/>
  <c r="K78" i="6"/>
  <c r="N78" i="6" s="1"/>
  <c r="K79" i="6"/>
  <c r="N79" i="6" s="1"/>
  <c r="K80" i="6"/>
  <c r="N80" i="6" s="1"/>
  <c r="K81" i="6"/>
  <c r="N81" i="6" s="1"/>
  <c r="K82" i="6"/>
  <c r="N82" i="6" s="1"/>
  <c r="K83" i="6"/>
  <c r="N83" i="6" s="1"/>
  <c r="K84" i="6"/>
  <c r="N84" i="6" s="1"/>
  <c r="K85" i="6"/>
  <c r="N85" i="6" s="1"/>
  <c r="K86" i="6"/>
  <c r="N86" i="6" s="1"/>
  <c r="K87" i="6"/>
  <c r="N87" i="6" s="1"/>
  <c r="K88" i="6"/>
  <c r="N88" i="6" s="1"/>
  <c r="K89" i="6"/>
  <c r="N89" i="6" s="1"/>
  <c r="K90" i="6"/>
  <c r="N90" i="6" s="1"/>
  <c r="K91" i="6"/>
  <c r="N91" i="6" s="1"/>
  <c r="K92" i="6"/>
  <c r="N92" i="6" s="1"/>
  <c r="K93" i="6"/>
  <c r="N93" i="6" s="1"/>
  <c r="K94" i="6"/>
  <c r="N94" i="6" s="1"/>
  <c r="K95" i="6"/>
  <c r="N95" i="6" s="1"/>
  <c r="K96" i="6"/>
  <c r="N96" i="6" s="1"/>
  <c r="K97" i="6"/>
  <c r="N97" i="6" s="1"/>
  <c r="K98" i="6"/>
  <c r="N98" i="6" s="1"/>
  <c r="K99" i="6"/>
  <c r="N99" i="6" s="1"/>
  <c r="K100" i="6"/>
  <c r="N100" i="6" s="1"/>
  <c r="K101" i="6"/>
  <c r="N101" i="6" s="1"/>
  <c r="K102" i="6"/>
  <c r="N102" i="6" s="1"/>
  <c r="K103" i="6"/>
  <c r="N103" i="6" s="1"/>
  <c r="K104" i="6"/>
  <c r="N104" i="6" s="1"/>
  <c r="K105" i="6"/>
  <c r="N105" i="6" s="1"/>
  <c r="K106" i="6"/>
  <c r="N106" i="6" s="1"/>
  <c r="K107" i="6"/>
  <c r="N107" i="6" s="1"/>
  <c r="K108" i="6"/>
  <c r="N108" i="6" s="1"/>
  <c r="K109" i="6"/>
  <c r="N109" i="6" s="1"/>
  <c r="K110" i="6"/>
  <c r="N110" i="6" s="1"/>
  <c r="K111" i="6"/>
  <c r="N111" i="6" s="1"/>
  <c r="K112" i="6"/>
  <c r="N112" i="6" s="1"/>
  <c r="K113" i="6"/>
  <c r="N113" i="6" s="1"/>
  <c r="K114" i="6"/>
  <c r="N114" i="6" s="1"/>
  <c r="K115" i="6"/>
  <c r="N115" i="6" s="1"/>
  <c r="K116" i="6"/>
  <c r="N116" i="6" s="1"/>
  <c r="K117" i="6"/>
  <c r="N117" i="6" s="1"/>
  <c r="K118" i="6"/>
  <c r="N118" i="6" s="1"/>
  <c r="K119" i="6"/>
  <c r="N119" i="6" s="1"/>
  <c r="K120" i="6"/>
  <c r="N120" i="6" s="1"/>
  <c r="K121" i="6"/>
  <c r="N121" i="6" s="1"/>
  <c r="K122" i="6"/>
  <c r="N122" i="6" s="1"/>
  <c r="K123" i="6"/>
  <c r="N123" i="6" s="1"/>
  <c r="K124" i="6"/>
  <c r="N124" i="6" s="1"/>
  <c r="K125" i="6"/>
  <c r="N125" i="6" s="1"/>
  <c r="K126" i="6"/>
  <c r="N126" i="6" s="1"/>
  <c r="K127" i="6"/>
  <c r="N127" i="6" s="1"/>
  <c r="K128" i="6"/>
  <c r="N128" i="6" s="1"/>
  <c r="K129" i="6"/>
  <c r="N129" i="6" s="1"/>
  <c r="K130" i="6"/>
  <c r="N130" i="6" s="1"/>
  <c r="K131" i="6"/>
  <c r="N131" i="6" s="1"/>
  <c r="K132" i="6"/>
  <c r="N132" i="6" s="1"/>
  <c r="K133" i="6"/>
  <c r="N133" i="6" s="1"/>
  <c r="K134" i="6"/>
  <c r="N134" i="6" s="1"/>
  <c r="K135" i="6"/>
  <c r="N135" i="6" s="1"/>
  <c r="K136" i="6"/>
  <c r="N136" i="6" s="1"/>
  <c r="K137" i="6"/>
  <c r="N137" i="6" s="1"/>
  <c r="K138" i="6"/>
  <c r="N138" i="6" s="1"/>
  <c r="K139" i="6"/>
  <c r="N139" i="6" s="1"/>
  <c r="K140" i="6"/>
  <c r="N140" i="6" s="1"/>
  <c r="K141" i="6"/>
  <c r="N141" i="6" s="1"/>
  <c r="K142" i="6"/>
  <c r="N142" i="6" s="1"/>
  <c r="K143" i="6"/>
  <c r="N143" i="6" s="1"/>
  <c r="K144" i="6"/>
  <c r="N144" i="6" s="1"/>
  <c r="K145" i="6"/>
  <c r="N145" i="6" s="1"/>
  <c r="K146" i="6"/>
  <c r="N146" i="6" s="1"/>
  <c r="K147" i="6"/>
  <c r="N147" i="6" s="1"/>
  <c r="K148" i="6"/>
  <c r="N148" i="6" s="1"/>
  <c r="K149" i="6"/>
  <c r="N149" i="6" s="1"/>
  <c r="K150" i="6"/>
  <c r="N150" i="6" s="1"/>
  <c r="K151" i="6"/>
  <c r="N151" i="6" s="1"/>
  <c r="K152" i="6"/>
  <c r="N152" i="6" s="1"/>
  <c r="K153" i="6"/>
  <c r="N153" i="6" s="1"/>
  <c r="K154" i="6"/>
  <c r="N154" i="6" s="1"/>
  <c r="K155" i="6"/>
  <c r="N155" i="6" s="1"/>
  <c r="K156" i="6"/>
  <c r="N156" i="6" s="1"/>
  <c r="K157" i="6"/>
  <c r="N157" i="6" s="1"/>
  <c r="K158" i="6"/>
  <c r="N158" i="6" s="1"/>
  <c r="K159" i="6"/>
  <c r="N159" i="6" s="1"/>
  <c r="K160" i="6"/>
  <c r="N160" i="6" s="1"/>
  <c r="K161" i="6"/>
  <c r="N161" i="6" s="1"/>
  <c r="K162" i="6"/>
  <c r="N162" i="6" s="1"/>
  <c r="K163" i="6"/>
  <c r="N163" i="6" s="1"/>
  <c r="K164" i="6"/>
  <c r="N164" i="6" s="1"/>
  <c r="K165" i="6"/>
  <c r="N165" i="6" s="1"/>
  <c r="K166" i="6"/>
  <c r="N166" i="6" s="1"/>
  <c r="K167" i="6"/>
  <c r="N167" i="6" s="1"/>
  <c r="K168" i="6"/>
  <c r="N168" i="6" s="1"/>
  <c r="K169" i="6"/>
  <c r="N169" i="6" s="1"/>
  <c r="K170" i="6"/>
  <c r="N170" i="6" s="1"/>
  <c r="K171" i="6"/>
  <c r="N171" i="6" s="1"/>
  <c r="K172" i="6"/>
  <c r="N172" i="6" s="1"/>
  <c r="K173" i="6"/>
  <c r="N173" i="6" s="1"/>
  <c r="K174" i="6"/>
  <c r="N174" i="6" s="1"/>
  <c r="K175" i="6"/>
  <c r="N175" i="6" s="1"/>
  <c r="K176" i="6"/>
  <c r="N176" i="6" s="1"/>
  <c r="K177" i="6"/>
  <c r="N177" i="6" s="1"/>
  <c r="K178" i="6"/>
  <c r="N178" i="6" s="1"/>
  <c r="K179" i="6"/>
  <c r="N179" i="6" s="1"/>
  <c r="K180" i="6"/>
  <c r="N180" i="6" s="1"/>
  <c r="K181" i="6"/>
  <c r="N181" i="6" s="1"/>
  <c r="K182" i="6"/>
  <c r="N182" i="6" s="1"/>
  <c r="K183" i="6"/>
  <c r="N183" i="6" s="1"/>
  <c r="K184" i="6"/>
  <c r="N184" i="6" s="1"/>
  <c r="K185" i="6"/>
  <c r="N185" i="6" s="1"/>
  <c r="K186" i="6"/>
  <c r="N186" i="6" s="1"/>
  <c r="K187" i="6"/>
  <c r="N187" i="6" s="1"/>
  <c r="K188" i="6"/>
  <c r="N188" i="6" s="1"/>
  <c r="K189" i="6"/>
  <c r="N189" i="6" s="1"/>
  <c r="K190" i="6"/>
  <c r="N190" i="6" s="1"/>
  <c r="K191" i="6"/>
  <c r="N191" i="6" s="1"/>
  <c r="K192" i="6"/>
  <c r="N192" i="6" s="1"/>
  <c r="K193" i="6"/>
  <c r="N193" i="6" s="1"/>
  <c r="K194" i="6"/>
  <c r="N194" i="6" s="1"/>
  <c r="K195" i="6"/>
  <c r="N195" i="6" s="1"/>
  <c r="K196" i="6"/>
  <c r="N196" i="6" s="1"/>
  <c r="K197" i="6"/>
  <c r="N197" i="6" s="1"/>
  <c r="K198" i="6"/>
  <c r="N198" i="6" s="1"/>
  <c r="K199" i="6"/>
  <c r="N199" i="6" s="1"/>
  <c r="K200" i="6"/>
  <c r="N200" i="6" s="1"/>
  <c r="K201" i="6"/>
  <c r="N201" i="6" s="1"/>
  <c r="C10" i="11"/>
  <c r="C9" i="11"/>
  <c r="C11" i="11"/>
  <c r="C11" i="8"/>
  <c r="C9" i="8"/>
  <c r="C10" i="8"/>
  <c r="Q179" i="6" l="1"/>
  <c r="Q163" i="6"/>
  <c r="Q147" i="6"/>
  <c r="L196" i="6"/>
  <c r="R196" i="6" s="1"/>
  <c r="Q196" i="6"/>
  <c r="L184" i="6"/>
  <c r="R184" i="6" s="1"/>
  <c r="Q184" i="6"/>
  <c r="P184" i="6"/>
  <c r="L180" i="6"/>
  <c r="R180" i="6" s="1"/>
  <c r="Q180" i="6"/>
  <c r="P180" i="6"/>
  <c r="L176" i="6"/>
  <c r="R176" i="6" s="1"/>
  <c r="Q176" i="6"/>
  <c r="P176" i="6"/>
  <c r="L172" i="6"/>
  <c r="R172" i="6" s="1"/>
  <c r="Q172" i="6"/>
  <c r="P172" i="6"/>
  <c r="L168" i="6"/>
  <c r="R168" i="6" s="1"/>
  <c r="Q168" i="6"/>
  <c r="P168" i="6"/>
  <c r="L164" i="6"/>
  <c r="R164" i="6" s="1"/>
  <c r="Q164" i="6"/>
  <c r="P164" i="6"/>
  <c r="L160" i="6"/>
  <c r="R160" i="6" s="1"/>
  <c r="Q160" i="6"/>
  <c r="P160" i="6"/>
  <c r="L156" i="6"/>
  <c r="R156" i="6" s="1"/>
  <c r="Q156" i="6"/>
  <c r="P156" i="6"/>
  <c r="L152" i="6"/>
  <c r="R152" i="6" s="1"/>
  <c r="Q152" i="6"/>
  <c r="P152" i="6"/>
  <c r="L148" i="6"/>
  <c r="R148" i="6" s="1"/>
  <c r="Q148" i="6"/>
  <c r="P148" i="6"/>
  <c r="L144" i="6"/>
  <c r="R144" i="6" s="1"/>
  <c r="Q144" i="6"/>
  <c r="P144" i="6"/>
  <c r="L140" i="6"/>
  <c r="R140" i="6" s="1"/>
  <c r="Q140" i="6"/>
  <c r="P140" i="6"/>
  <c r="L136" i="6"/>
  <c r="R136" i="6" s="1"/>
  <c r="P136" i="6"/>
  <c r="L132" i="6"/>
  <c r="R132" i="6" s="1"/>
  <c r="Q132" i="6"/>
  <c r="P132" i="6"/>
  <c r="L128" i="6"/>
  <c r="R128" i="6" s="1"/>
  <c r="P128" i="6"/>
  <c r="L124" i="6"/>
  <c r="R124" i="6" s="1"/>
  <c r="Q124" i="6"/>
  <c r="P124" i="6"/>
  <c r="L120" i="6"/>
  <c r="R120" i="6" s="1"/>
  <c r="P120" i="6"/>
  <c r="L116" i="6"/>
  <c r="R116" i="6" s="1"/>
  <c r="P116" i="6"/>
  <c r="Q116" i="6"/>
  <c r="L112" i="6"/>
  <c r="R112" i="6" s="1"/>
  <c r="Q112" i="6"/>
  <c r="P112" i="6"/>
  <c r="L108" i="6"/>
  <c r="R108" i="6" s="1"/>
  <c r="Q108" i="6"/>
  <c r="P108" i="6"/>
  <c r="L104" i="6"/>
  <c r="R104" i="6" s="1"/>
  <c r="P104" i="6"/>
  <c r="L100" i="6"/>
  <c r="R100" i="6" s="1"/>
  <c r="P100" i="6"/>
  <c r="Q100" i="6"/>
  <c r="L96" i="6"/>
  <c r="R96" i="6" s="1"/>
  <c r="Q96" i="6"/>
  <c r="P96" i="6"/>
  <c r="L92" i="6"/>
  <c r="R92" i="6" s="1"/>
  <c r="Q92" i="6"/>
  <c r="P92" i="6"/>
  <c r="L88" i="6"/>
  <c r="R88" i="6" s="1"/>
  <c r="P88" i="6"/>
  <c r="L84" i="6"/>
  <c r="R84" i="6" s="1"/>
  <c r="P84" i="6"/>
  <c r="Q84" i="6"/>
  <c r="L80" i="6"/>
  <c r="R80" i="6" s="1"/>
  <c r="Q80" i="6"/>
  <c r="P80" i="6"/>
  <c r="L76" i="6"/>
  <c r="R76" i="6" s="1"/>
  <c r="Q76" i="6"/>
  <c r="P76" i="6"/>
  <c r="L72" i="6"/>
  <c r="R72" i="6" s="1"/>
  <c r="P72" i="6"/>
  <c r="L68" i="6"/>
  <c r="R68" i="6" s="1"/>
  <c r="P68" i="6"/>
  <c r="Q68" i="6"/>
  <c r="L64" i="6"/>
  <c r="R64" i="6" s="1"/>
  <c r="Q64" i="6"/>
  <c r="P64" i="6"/>
  <c r="L60" i="6"/>
  <c r="R60" i="6" s="1"/>
  <c r="Q60" i="6"/>
  <c r="P60" i="6"/>
  <c r="L56" i="6"/>
  <c r="R56" i="6" s="1"/>
  <c r="P56" i="6"/>
  <c r="L52" i="6"/>
  <c r="R52" i="6" s="1"/>
  <c r="P52" i="6"/>
  <c r="Q52" i="6"/>
  <c r="L48" i="6"/>
  <c r="R48" i="6" s="1"/>
  <c r="Q48" i="6"/>
  <c r="P48" i="6"/>
  <c r="L44" i="6"/>
  <c r="R44" i="6" s="1"/>
  <c r="Q44" i="6"/>
  <c r="P44" i="6"/>
  <c r="L40" i="6"/>
  <c r="R40" i="6" s="1"/>
  <c r="P40" i="6"/>
  <c r="L36" i="6"/>
  <c r="R36" i="6" s="1"/>
  <c r="P36" i="6"/>
  <c r="Q36" i="6"/>
  <c r="L32" i="6"/>
  <c r="R32" i="6" s="1"/>
  <c r="Q32" i="6"/>
  <c r="P32" i="6"/>
  <c r="L28" i="6"/>
  <c r="R28" i="6" s="1"/>
  <c r="Q28" i="6"/>
  <c r="P28" i="6"/>
  <c r="L24" i="6"/>
  <c r="R24" i="6" s="1"/>
  <c r="P24" i="6"/>
  <c r="L20" i="6"/>
  <c r="R20" i="6" s="1"/>
  <c r="P20" i="6"/>
  <c r="Q20" i="6"/>
  <c r="L16" i="6"/>
  <c r="R16" i="6" s="1"/>
  <c r="Q16" i="6"/>
  <c r="P16" i="6"/>
  <c r="L12" i="6"/>
  <c r="R12" i="6" s="1"/>
  <c r="Q12" i="6"/>
  <c r="P12" i="6"/>
  <c r="L8" i="6"/>
  <c r="R8" i="6" s="1"/>
  <c r="P8" i="6"/>
  <c r="L4" i="6"/>
  <c r="R4" i="6" s="1"/>
  <c r="P4" i="6"/>
  <c r="Q4" i="6"/>
  <c r="P196" i="6"/>
  <c r="Q195" i="6"/>
  <c r="Q120" i="6"/>
  <c r="Q56" i="6"/>
  <c r="O192" i="6"/>
  <c r="Q192" i="6"/>
  <c r="R199" i="6"/>
  <c r="R195" i="6"/>
  <c r="R191" i="6"/>
  <c r="L187" i="6"/>
  <c r="R187" i="6" s="1"/>
  <c r="P187" i="6"/>
  <c r="L183" i="6"/>
  <c r="R183" i="6" s="1"/>
  <c r="P183" i="6"/>
  <c r="L179" i="6"/>
  <c r="R179" i="6" s="1"/>
  <c r="P179" i="6"/>
  <c r="L175" i="6"/>
  <c r="R175" i="6" s="1"/>
  <c r="P175" i="6"/>
  <c r="L171" i="6"/>
  <c r="R171" i="6" s="1"/>
  <c r="P171" i="6"/>
  <c r="L167" i="6"/>
  <c r="R167" i="6" s="1"/>
  <c r="P167" i="6"/>
  <c r="L163" i="6"/>
  <c r="R163" i="6" s="1"/>
  <c r="P163" i="6"/>
  <c r="L159" i="6"/>
  <c r="R159" i="6" s="1"/>
  <c r="P159" i="6"/>
  <c r="O155" i="6"/>
  <c r="P155" i="6"/>
  <c r="L151" i="6"/>
  <c r="R151" i="6" s="1"/>
  <c r="P151" i="6"/>
  <c r="L147" i="6"/>
  <c r="R147" i="6" s="1"/>
  <c r="P147" i="6"/>
  <c r="L143" i="6"/>
  <c r="R143" i="6" s="1"/>
  <c r="P143" i="6"/>
  <c r="O139" i="6"/>
  <c r="Q139" i="6"/>
  <c r="P139" i="6"/>
  <c r="L135" i="6"/>
  <c r="R135" i="6" s="1"/>
  <c r="Q135" i="6"/>
  <c r="P135" i="6"/>
  <c r="L131" i="6"/>
  <c r="R131" i="6" s="1"/>
  <c r="Q131" i="6"/>
  <c r="P131" i="6"/>
  <c r="L127" i="6"/>
  <c r="R127" i="6" s="1"/>
  <c r="Q127" i="6"/>
  <c r="P127" i="6"/>
  <c r="O123" i="6"/>
  <c r="Q123" i="6"/>
  <c r="P123" i="6"/>
  <c r="L119" i="6"/>
  <c r="R119" i="6" s="1"/>
  <c r="Q119" i="6"/>
  <c r="P119" i="6"/>
  <c r="L115" i="6"/>
  <c r="R115" i="6" s="1"/>
  <c r="Q115" i="6"/>
  <c r="P115" i="6"/>
  <c r="L111" i="6"/>
  <c r="R111" i="6" s="1"/>
  <c r="Q111" i="6"/>
  <c r="P111" i="6"/>
  <c r="L107" i="6"/>
  <c r="R107" i="6" s="1"/>
  <c r="Q107" i="6"/>
  <c r="P107" i="6"/>
  <c r="L103" i="6"/>
  <c r="R103" i="6" s="1"/>
  <c r="Q103" i="6"/>
  <c r="P103" i="6"/>
  <c r="L99" i="6"/>
  <c r="R99" i="6" s="1"/>
  <c r="Q99" i="6"/>
  <c r="P99" i="6"/>
  <c r="L95" i="6"/>
  <c r="R95" i="6" s="1"/>
  <c r="Q95" i="6"/>
  <c r="P95" i="6"/>
  <c r="O91" i="6"/>
  <c r="Q91" i="6"/>
  <c r="P91" i="6"/>
  <c r="L87" i="6"/>
  <c r="R87" i="6" s="1"/>
  <c r="Q87" i="6"/>
  <c r="P87" i="6"/>
  <c r="L83" i="6"/>
  <c r="R83" i="6" s="1"/>
  <c r="Q83" i="6"/>
  <c r="P83" i="6"/>
  <c r="L79" i="6"/>
  <c r="R79" i="6" s="1"/>
  <c r="Q79" i="6"/>
  <c r="P79" i="6"/>
  <c r="O75" i="6"/>
  <c r="Q75" i="6"/>
  <c r="P75" i="6"/>
  <c r="L71" i="6"/>
  <c r="R71" i="6" s="1"/>
  <c r="Q71" i="6"/>
  <c r="P71" i="6"/>
  <c r="L67" i="6"/>
  <c r="R67" i="6" s="1"/>
  <c r="Q67" i="6"/>
  <c r="P67" i="6"/>
  <c r="L63" i="6"/>
  <c r="R63" i="6" s="1"/>
  <c r="Q63" i="6"/>
  <c r="P63" i="6"/>
  <c r="O59" i="6"/>
  <c r="Q59" i="6"/>
  <c r="P59" i="6"/>
  <c r="L55" i="6"/>
  <c r="R55" i="6" s="1"/>
  <c r="Q55" i="6"/>
  <c r="P55" i="6"/>
  <c r="L51" i="6"/>
  <c r="R51" i="6" s="1"/>
  <c r="Q51" i="6"/>
  <c r="P51" i="6"/>
  <c r="L47" i="6"/>
  <c r="R47" i="6" s="1"/>
  <c r="Q47" i="6"/>
  <c r="P47" i="6"/>
  <c r="L43" i="6"/>
  <c r="R43" i="6" s="1"/>
  <c r="Q43" i="6"/>
  <c r="P43" i="6"/>
  <c r="L39" i="6"/>
  <c r="R39" i="6" s="1"/>
  <c r="Q39" i="6"/>
  <c r="P39" i="6"/>
  <c r="L35" i="6"/>
  <c r="R35" i="6" s="1"/>
  <c r="Q35" i="6"/>
  <c r="P35" i="6"/>
  <c r="L31" i="6"/>
  <c r="R31" i="6" s="1"/>
  <c r="Q31" i="6"/>
  <c r="P31" i="6"/>
  <c r="O27" i="6"/>
  <c r="Q27" i="6"/>
  <c r="P27" i="6"/>
  <c r="L23" i="6"/>
  <c r="R23" i="6" s="1"/>
  <c r="Q23" i="6"/>
  <c r="P23" i="6"/>
  <c r="L19" i="6"/>
  <c r="R19" i="6" s="1"/>
  <c r="Q19" i="6"/>
  <c r="P19" i="6"/>
  <c r="L15" i="6"/>
  <c r="R15" i="6" s="1"/>
  <c r="Q15" i="6"/>
  <c r="P15" i="6"/>
  <c r="O11" i="6"/>
  <c r="Q11" i="6"/>
  <c r="P11" i="6"/>
  <c r="L7" i="6"/>
  <c r="R7" i="6" s="1"/>
  <c r="Q7" i="6"/>
  <c r="P7" i="6"/>
  <c r="L3" i="6"/>
  <c r="R3" i="6" s="1"/>
  <c r="Q3" i="6"/>
  <c r="P3" i="6"/>
  <c r="P199" i="6"/>
  <c r="P195" i="6"/>
  <c r="P191" i="6"/>
  <c r="Q191" i="6"/>
  <c r="Q175" i="6"/>
  <c r="Q159" i="6"/>
  <c r="Q143" i="6"/>
  <c r="Q104" i="6"/>
  <c r="Q40" i="6"/>
  <c r="L200" i="6"/>
  <c r="R200" i="6" s="1"/>
  <c r="Q200" i="6"/>
  <c r="L188" i="6"/>
  <c r="R188" i="6" s="1"/>
  <c r="Q188" i="6"/>
  <c r="L198" i="6"/>
  <c r="R198" i="6" s="1"/>
  <c r="Q198" i="6"/>
  <c r="L194" i="6"/>
  <c r="R194" i="6" s="1"/>
  <c r="Q194" i="6"/>
  <c r="L190" i="6"/>
  <c r="R190" i="6" s="1"/>
  <c r="Q190" i="6"/>
  <c r="L186" i="6"/>
  <c r="R186" i="6" s="1"/>
  <c r="Q186" i="6"/>
  <c r="L182" i="6"/>
  <c r="R182" i="6" s="1"/>
  <c r="Q182" i="6"/>
  <c r="L178" i="6"/>
  <c r="R178" i="6" s="1"/>
  <c r="Q178" i="6"/>
  <c r="L174" i="6"/>
  <c r="R174" i="6" s="1"/>
  <c r="Q174" i="6"/>
  <c r="L170" i="6"/>
  <c r="R170" i="6" s="1"/>
  <c r="Q170" i="6"/>
  <c r="L166" i="6"/>
  <c r="R166" i="6" s="1"/>
  <c r="Q166" i="6"/>
  <c r="L162" i="6"/>
  <c r="R162" i="6" s="1"/>
  <c r="Q162" i="6"/>
  <c r="L158" i="6"/>
  <c r="R158" i="6" s="1"/>
  <c r="Q158" i="6"/>
  <c r="L154" i="6"/>
  <c r="R154" i="6" s="1"/>
  <c r="Q154" i="6"/>
  <c r="L150" i="6"/>
  <c r="R150" i="6" s="1"/>
  <c r="Q150" i="6"/>
  <c r="L146" i="6"/>
  <c r="R146" i="6" s="1"/>
  <c r="Q146" i="6"/>
  <c r="L142" i="6"/>
  <c r="R142" i="6" s="1"/>
  <c r="Q142" i="6"/>
  <c r="L138" i="6"/>
  <c r="R138" i="6" s="1"/>
  <c r="Q138" i="6"/>
  <c r="L134" i="6"/>
  <c r="R134" i="6" s="1"/>
  <c r="Q134" i="6"/>
  <c r="L130" i="6"/>
  <c r="R130" i="6" s="1"/>
  <c r="Q130" i="6"/>
  <c r="L126" i="6"/>
  <c r="R126" i="6" s="1"/>
  <c r="Q126" i="6"/>
  <c r="L122" i="6"/>
  <c r="R122" i="6" s="1"/>
  <c r="Q122" i="6"/>
  <c r="L118" i="6"/>
  <c r="R118" i="6" s="1"/>
  <c r="Q118" i="6"/>
  <c r="L114" i="6"/>
  <c r="R114" i="6" s="1"/>
  <c r="Q114" i="6"/>
  <c r="L110" i="6"/>
  <c r="R110" i="6" s="1"/>
  <c r="Q110" i="6"/>
  <c r="L106" i="6"/>
  <c r="R106" i="6" s="1"/>
  <c r="Q106" i="6"/>
  <c r="L102" i="6"/>
  <c r="R102" i="6" s="1"/>
  <c r="Q102" i="6"/>
  <c r="L98" i="6"/>
  <c r="R98" i="6" s="1"/>
  <c r="Q98" i="6"/>
  <c r="L94" i="6"/>
  <c r="R94" i="6" s="1"/>
  <c r="Q94" i="6"/>
  <c r="L90" i="6"/>
  <c r="R90" i="6" s="1"/>
  <c r="Q90" i="6"/>
  <c r="L86" i="6"/>
  <c r="R86" i="6" s="1"/>
  <c r="Q86" i="6"/>
  <c r="L82" i="6"/>
  <c r="R82" i="6" s="1"/>
  <c r="Q82" i="6"/>
  <c r="L78" i="6"/>
  <c r="R78" i="6" s="1"/>
  <c r="Q78" i="6"/>
  <c r="L74" i="6"/>
  <c r="R74" i="6" s="1"/>
  <c r="Q74" i="6"/>
  <c r="L70" i="6"/>
  <c r="R70" i="6" s="1"/>
  <c r="Q70" i="6"/>
  <c r="L66" i="6"/>
  <c r="R66" i="6" s="1"/>
  <c r="Q66" i="6"/>
  <c r="L62" i="6"/>
  <c r="R62" i="6" s="1"/>
  <c r="Q62" i="6"/>
  <c r="L58" i="6"/>
  <c r="R58" i="6" s="1"/>
  <c r="Q58" i="6"/>
  <c r="L54" i="6"/>
  <c r="R54" i="6" s="1"/>
  <c r="Q54" i="6"/>
  <c r="L50" i="6"/>
  <c r="R50" i="6" s="1"/>
  <c r="Q50" i="6"/>
  <c r="L46" i="6"/>
  <c r="R46" i="6" s="1"/>
  <c r="Q46" i="6"/>
  <c r="L42" i="6"/>
  <c r="R42" i="6" s="1"/>
  <c r="Q42" i="6"/>
  <c r="L38" i="6"/>
  <c r="R38" i="6" s="1"/>
  <c r="Q38" i="6"/>
  <c r="L34" i="6"/>
  <c r="R34" i="6" s="1"/>
  <c r="Q34" i="6"/>
  <c r="L30" i="6"/>
  <c r="R30" i="6" s="1"/>
  <c r="Q30" i="6"/>
  <c r="L26" i="6"/>
  <c r="R26" i="6" s="1"/>
  <c r="Q26" i="6"/>
  <c r="L22" i="6"/>
  <c r="R22" i="6" s="1"/>
  <c r="Q22" i="6"/>
  <c r="L18" i="6"/>
  <c r="R18" i="6" s="1"/>
  <c r="Q18" i="6"/>
  <c r="L14" i="6"/>
  <c r="R14" i="6" s="1"/>
  <c r="Q14" i="6"/>
  <c r="L10" i="6"/>
  <c r="R10" i="6" s="1"/>
  <c r="Q10" i="6"/>
  <c r="L6" i="6"/>
  <c r="R6" i="6" s="1"/>
  <c r="Q6" i="6"/>
  <c r="L2" i="6"/>
  <c r="R2" i="6" s="1"/>
  <c r="Q2" i="6"/>
  <c r="P198" i="6"/>
  <c r="P194" i="6"/>
  <c r="P190" i="6"/>
  <c r="P178" i="6"/>
  <c r="P162" i="6"/>
  <c r="P146" i="6"/>
  <c r="P130" i="6"/>
  <c r="P114" i="6"/>
  <c r="P98" i="6"/>
  <c r="P82" i="6"/>
  <c r="P66" i="6"/>
  <c r="P50" i="6"/>
  <c r="P34" i="6"/>
  <c r="P18" i="6"/>
  <c r="P2" i="6"/>
  <c r="Q187" i="6"/>
  <c r="Q171" i="6"/>
  <c r="Q155" i="6"/>
  <c r="Q136" i="6"/>
  <c r="Q88" i="6"/>
  <c r="Q24" i="6"/>
  <c r="L201" i="6"/>
  <c r="R201" i="6" s="1"/>
  <c r="Q201" i="6"/>
  <c r="L197" i="6"/>
  <c r="R197" i="6" s="1"/>
  <c r="Q197" i="6"/>
  <c r="L193" i="6"/>
  <c r="R193" i="6" s="1"/>
  <c r="Q193" i="6"/>
  <c r="L189" i="6"/>
  <c r="R189" i="6" s="1"/>
  <c r="Q189" i="6"/>
  <c r="P189" i="6"/>
  <c r="L185" i="6"/>
  <c r="R185" i="6" s="1"/>
  <c r="Q185" i="6"/>
  <c r="P185" i="6"/>
  <c r="L181" i="6"/>
  <c r="R181" i="6" s="1"/>
  <c r="Q181" i="6"/>
  <c r="P181" i="6"/>
  <c r="L177" i="6"/>
  <c r="R177" i="6" s="1"/>
  <c r="Q177" i="6"/>
  <c r="P177" i="6"/>
  <c r="L173" i="6"/>
  <c r="R173" i="6" s="1"/>
  <c r="Q173" i="6"/>
  <c r="P173" i="6"/>
  <c r="L169" i="6"/>
  <c r="R169" i="6" s="1"/>
  <c r="Q169" i="6"/>
  <c r="P169" i="6"/>
  <c r="L165" i="6"/>
  <c r="R165" i="6" s="1"/>
  <c r="Q165" i="6"/>
  <c r="P165" i="6"/>
  <c r="L161" i="6"/>
  <c r="R161" i="6" s="1"/>
  <c r="Q161" i="6"/>
  <c r="P161" i="6"/>
  <c r="L157" i="6"/>
  <c r="R157" i="6" s="1"/>
  <c r="Q157" i="6"/>
  <c r="P157" i="6"/>
  <c r="L153" i="6"/>
  <c r="R153" i="6" s="1"/>
  <c r="Q153" i="6"/>
  <c r="P153" i="6"/>
  <c r="L149" i="6"/>
  <c r="R149" i="6" s="1"/>
  <c r="Q149" i="6"/>
  <c r="P149" i="6"/>
  <c r="L145" i="6"/>
  <c r="R145" i="6" s="1"/>
  <c r="Q145" i="6"/>
  <c r="P145" i="6"/>
  <c r="L141" i="6"/>
  <c r="R141" i="6" s="1"/>
  <c r="Q141" i="6"/>
  <c r="P141" i="6"/>
  <c r="L137" i="6"/>
  <c r="R137" i="6" s="1"/>
  <c r="Q137" i="6"/>
  <c r="P137" i="6"/>
  <c r="L133" i="6"/>
  <c r="R133" i="6" s="1"/>
  <c r="Q133" i="6"/>
  <c r="P133" i="6"/>
  <c r="L129" i="6"/>
  <c r="R129" i="6" s="1"/>
  <c r="Q129" i="6"/>
  <c r="P129" i="6"/>
  <c r="L125" i="6"/>
  <c r="R125" i="6" s="1"/>
  <c r="Q125" i="6"/>
  <c r="P125" i="6"/>
  <c r="L121" i="6"/>
  <c r="R121" i="6" s="1"/>
  <c r="Q121" i="6"/>
  <c r="P121" i="6"/>
  <c r="L117" i="6"/>
  <c r="R117" i="6" s="1"/>
  <c r="Q117" i="6"/>
  <c r="P117" i="6"/>
  <c r="L113" i="6"/>
  <c r="R113" i="6" s="1"/>
  <c r="Q113" i="6"/>
  <c r="P113" i="6"/>
  <c r="L109" i="6"/>
  <c r="R109" i="6" s="1"/>
  <c r="Q109" i="6"/>
  <c r="P109" i="6"/>
  <c r="L105" i="6"/>
  <c r="R105" i="6" s="1"/>
  <c r="Q105" i="6"/>
  <c r="P105" i="6"/>
  <c r="L101" i="6"/>
  <c r="R101" i="6" s="1"/>
  <c r="Q101" i="6"/>
  <c r="P101" i="6"/>
  <c r="L97" i="6"/>
  <c r="R97" i="6" s="1"/>
  <c r="Q97" i="6"/>
  <c r="P97" i="6"/>
  <c r="L93" i="6"/>
  <c r="R93" i="6" s="1"/>
  <c r="Q93" i="6"/>
  <c r="P93" i="6"/>
  <c r="L89" i="6"/>
  <c r="R89" i="6" s="1"/>
  <c r="Q89" i="6"/>
  <c r="P89" i="6"/>
  <c r="L85" i="6"/>
  <c r="R85" i="6" s="1"/>
  <c r="Q85" i="6"/>
  <c r="P85" i="6"/>
  <c r="L81" i="6"/>
  <c r="R81" i="6" s="1"/>
  <c r="Q81" i="6"/>
  <c r="P81" i="6"/>
  <c r="L77" i="6"/>
  <c r="R77" i="6" s="1"/>
  <c r="Q77" i="6"/>
  <c r="P77" i="6"/>
  <c r="L73" i="6"/>
  <c r="R73" i="6" s="1"/>
  <c r="Q73" i="6"/>
  <c r="P73" i="6"/>
  <c r="L69" i="6"/>
  <c r="R69" i="6" s="1"/>
  <c r="Q69" i="6"/>
  <c r="P69" i="6"/>
  <c r="L65" i="6"/>
  <c r="R65" i="6" s="1"/>
  <c r="Q65" i="6"/>
  <c r="P65" i="6"/>
  <c r="L61" i="6"/>
  <c r="R61" i="6" s="1"/>
  <c r="Q61" i="6"/>
  <c r="P61" i="6"/>
  <c r="L57" i="6"/>
  <c r="R57" i="6" s="1"/>
  <c r="Q57" i="6"/>
  <c r="P57" i="6"/>
  <c r="L53" i="6"/>
  <c r="R53" i="6" s="1"/>
  <c r="Q53" i="6"/>
  <c r="P53" i="6"/>
  <c r="L49" i="6"/>
  <c r="R49" i="6" s="1"/>
  <c r="Q49" i="6"/>
  <c r="P49" i="6"/>
  <c r="L45" i="6"/>
  <c r="R45" i="6" s="1"/>
  <c r="Q45" i="6"/>
  <c r="P45" i="6"/>
  <c r="L41" i="6"/>
  <c r="R41" i="6" s="1"/>
  <c r="Q41" i="6"/>
  <c r="P41" i="6"/>
  <c r="L37" i="6"/>
  <c r="R37" i="6" s="1"/>
  <c r="Q37" i="6"/>
  <c r="P37" i="6"/>
  <c r="L33" i="6"/>
  <c r="R33" i="6" s="1"/>
  <c r="Q33" i="6"/>
  <c r="P33" i="6"/>
  <c r="L29" i="6"/>
  <c r="R29" i="6" s="1"/>
  <c r="Q29" i="6"/>
  <c r="P29" i="6"/>
  <c r="L25" i="6"/>
  <c r="R25" i="6" s="1"/>
  <c r="Q25" i="6"/>
  <c r="P25" i="6"/>
  <c r="L21" i="6"/>
  <c r="R21" i="6" s="1"/>
  <c r="Q21" i="6"/>
  <c r="P21" i="6"/>
  <c r="L17" i="6"/>
  <c r="R17" i="6" s="1"/>
  <c r="Q17" i="6"/>
  <c r="P17" i="6"/>
  <c r="L13" i="6"/>
  <c r="R13" i="6" s="1"/>
  <c r="Q13" i="6"/>
  <c r="P13" i="6"/>
  <c r="L9" i="6"/>
  <c r="R9" i="6" s="1"/>
  <c r="Q9" i="6"/>
  <c r="P9" i="6"/>
  <c r="L5" i="6"/>
  <c r="R5" i="6" s="1"/>
  <c r="Q5" i="6"/>
  <c r="P5" i="6"/>
  <c r="P201" i="6"/>
  <c r="P197" i="6"/>
  <c r="P193" i="6"/>
  <c r="P188" i="6"/>
  <c r="P174" i="6"/>
  <c r="P158" i="6"/>
  <c r="P142" i="6"/>
  <c r="P126" i="6"/>
  <c r="P110" i="6"/>
  <c r="P94" i="6"/>
  <c r="P78" i="6"/>
  <c r="P62" i="6"/>
  <c r="P46" i="6"/>
  <c r="P30" i="6"/>
  <c r="P14" i="6"/>
  <c r="Q199" i="6"/>
  <c r="Q183" i="6"/>
  <c r="Q167" i="6"/>
  <c r="Q151" i="6"/>
  <c r="Q128" i="6"/>
  <c r="Q72" i="6"/>
  <c r="Q8" i="6"/>
  <c r="L155" i="6"/>
  <c r="R155" i="6" s="1"/>
  <c r="L91" i="6"/>
  <c r="R91" i="6" s="1"/>
  <c r="L27" i="6"/>
  <c r="R27" i="6" s="1"/>
  <c r="O201" i="6"/>
  <c r="O197" i="6"/>
  <c r="O193" i="6"/>
  <c r="O189" i="6"/>
  <c r="O185" i="6"/>
  <c r="O181" i="6"/>
  <c r="O177" i="6"/>
  <c r="O173" i="6"/>
  <c r="O169" i="6"/>
  <c r="O165" i="6"/>
  <c r="O161" i="6"/>
  <c r="O157" i="6"/>
  <c r="O153" i="6"/>
  <c r="O149" i="6"/>
  <c r="O145" i="6"/>
  <c r="O141" i="6"/>
  <c r="O137" i="6"/>
  <c r="O133" i="6"/>
  <c r="O129" i="6"/>
  <c r="O125" i="6"/>
  <c r="O121" i="6"/>
  <c r="O117" i="6"/>
  <c r="O113" i="6"/>
  <c r="O109" i="6"/>
  <c r="O105" i="6"/>
  <c r="O101" i="6"/>
  <c r="O97" i="6"/>
  <c r="O93" i="6"/>
  <c r="O89" i="6"/>
  <c r="O85" i="6"/>
  <c r="O81" i="6"/>
  <c r="O77" i="6"/>
  <c r="O73" i="6"/>
  <c r="O69" i="6"/>
  <c r="O65" i="6"/>
  <c r="O61" i="6"/>
  <c r="O57" i="6"/>
  <c r="O53" i="6"/>
  <c r="O49" i="6"/>
  <c r="O45" i="6"/>
  <c r="O41" i="6"/>
  <c r="O37" i="6"/>
  <c r="O33" i="6"/>
  <c r="O29" i="6"/>
  <c r="O25" i="6"/>
  <c r="O21" i="6"/>
  <c r="O17" i="6"/>
  <c r="O13" i="6"/>
  <c r="O9" i="6"/>
  <c r="O5" i="6"/>
  <c r="L192" i="6"/>
  <c r="R192" i="6" s="1"/>
  <c r="L139" i="6"/>
  <c r="R139" i="6" s="1"/>
  <c r="L75" i="6"/>
  <c r="R75" i="6" s="1"/>
  <c r="L11" i="6"/>
  <c r="R11" i="6" s="1"/>
  <c r="O200" i="6"/>
  <c r="O196" i="6"/>
  <c r="O188" i="6"/>
  <c r="O184" i="6"/>
  <c r="O180" i="6"/>
  <c r="O176" i="6"/>
  <c r="O172" i="6"/>
  <c r="O168" i="6"/>
  <c r="O164" i="6"/>
  <c r="O160" i="6"/>
  <c r="O156" i="6"/>
  <c r="O152" i="6"/>
  <c r="O148" i="6"/>
  <c r="O144" i="6"/>
  <c r="O140" i="6"/>
  <c r="O136" i="6"/>
  <c r="O132" i="6"/>
  <c r="O128" i="6"/>
  <c r="O124" i="6"/>
  <c r="O120" i="6"/>
  <c r="O116" i="6"/>
  <c r="O112" i="6"/>
  <c r="O108" i="6"/>
  <c r="O104" i="6"/>
  <c r="O100" i="6"/>
  <c r="O96" i="6"/>
  <c r="O92" i="6"/>
  <c r="O88" i="6"/>
  <c r="O84" i="6"/>
  <c r="O80" i="6"/>
  <c r="O76" i="6"/>
  <c r="O72" i="6"/>
  <c r="O68" i="6"/>
  <c r="O64" i="6"/>
  <c r="O60" i="6"/>
  <c r="O56" i="6"/>
  <c r="O52" i="6"/>
  <c r="O48" i="6"/>
  <c r="O44" i="6"/>
  <c r="O40" i="6"/>
  <c r="O36" i="6"/>
  <c r="O32" i="6"/>
  <c r="O28" i="6"/>
  <c r="O24" i="6"/>
  <c r="O20" i="6"/>
  <c r="O16" i="6"/>
  <c r="O12" i="6"/>
  <c r="O8" i="6"/>
  <c r="O4" i="6"/>
  <c r="L123" i="6"/>
  <c r="R123" i="6" s="1"/>
  <c r="L59" i="6"/>
  <c r="R59" i="6" s="1"/>
  <c r="O199" i="6"/>
  <c r="O195" i="6"/>
  <c r="O191" i="6"/>
  <c r="O187" i="6"/>
  <c r="O183" i="6"/>
  <c r="O179" i="6"/>
  <c r="O175" i="6"/>
  <c r="O171" i="6"/>
  <c r="O167" i="6"/>
  <c r="O163" i="6"/>
  <c r="O159" i="6"/>
  <c r="O151" i="6"/>
  <c r="O147" i="6"/>
  <c r="O143" i="6"/>
  <c r="O135" i="6"/>
  <c r="O131" i="6"/>
  <c r="O127" i="6"/>
  <c r="O119" i="6"/>
  <c r="O115" i="6"/>
  <c r="O111" i="6"/>
  <c r="O107" i="6"/>
  <c r="O103" i="6"/>
  <c r="O99" i="6"/>
  <c r="O95" i="6"/>
  <c r="O87" i="6"/>
  <c r="O83" i="6"/>
  <c r="O79" i="6"/>
  <c r="O71" i="6"/>
  <c r="O67" i="6"/>
  <c r="O63" i="6"/>
  <c r="O55" i="6"/>
  <c r="O51" i="6"/>
  <c r="O47" i="6"/>
  <c r="O43" i="6"/>
  <c r="O39" i="6"/>
  <c r="O35" i="6"/>
  <c r="O31" i="6"/>
  <c r="O23" i="6"/>
  <c r="O19" i="6"/>
  <c r="O15" i="6"/>
  <c r="O7" i="6"/>
  <c r="O3" i="6"/>
  <c r="O198" i="6"/>
  <c r="O194" i="6"/>
  <c r="O190" i="6"/>
  <c r="O186" i="6"/>
  <c r="O182" i="6"/>
  <c r="O178" i="6"/>
  <c r="O174" i="6"/>
  <c r="O170" i="6"/>
  <c r="O166" i="6"/>
  <c r="O162" i="6"/>
  <c r="O158" i="6"/>
  <c r="O154" i="6"/>
  <c r="O150" i="6"/>
  <c r="O146" i="6"/>
  <c r="O142" i="6"/>
  <c r="O138" i="6"/>
  <c r="O134" i="6"/>
  <c r="O130" i="6"/>
  <c r="O126" i="6"/>
  <c r="O122" i="6"/>
  <c r="O118" i="6"/>
  <c r="O114" i="6"/>
  <c r="O110" i="6"/>
  <c r="O106" i="6"/>
  <c r="O102" i="6"/>
  <c r="O98" i="6"/>
  <c r="O94" i="6"/>
  <c r="O90" i="6"/>
  <c r="O86" i="6"/>
  <c r="O82" i="6"/>
  <c r="O78" i="6"/>
  <c r="O74" i="6"/>
  <c r="O70" i="6"/>
  <c r="O66" i="6"/>
  <c r="O62" i="6"/>
  <c r="O58" i="6"/>
  <c r="O54" i="6"/>
  <c r="O50" i="6"/>
  <c r="O46" i="6"/>
  <c r="O42" i="6"/>
  <c r="O38" i="6"/>
  <c r="O34" i="6"/>
  <c r="O30" i="6"/>
  <c r="O26" i="6"/>
  <c r="O22" i="6"/>
  <c r="O18" i="6"/>
  <c r="O14" i="6"/>
  <c r="O10" i="6"/>
  <c r="O6" i="6"/>
  <c r="O2" i="6"/>
</calcChain>
</file>

<file path=xl/sharedStrings.xml><?xml version="1.0" encoding="utf-8"?>
<sst xmlns="http://schemas.openxmlformats.org/spreadsheetml/2006/main" count="4483" uniqueCount="776">
  <si>
    <t>Req_ID</t>
  </si>
  <si>
    <t>Job_Title</t>
  </si>
  <si>
    <t>Client</t>
  </si>
  <si>
    <t>Open_Date</t>
  </si>
  <si>
    <t>Close_Date</t>
  </si>
  <si>
    <t>Priority</t>
  </si>
  <si>
    <t>R001</t>
  </si>
  <si>
    <t>Business Analyst</t>
  </si>
  <si>
    <t>Amazon</t>
  </si>
  <si>
    <t>Medium</t>
  </si>
  <si>
    <t>R002</t>
  </si>
  <si>
    <t>Data Engineer</t>
  </si>
  <si>
    <t>High</t>
  </si>
  <si>
    <t>R003</t>
  </si>
  <si>
    <t>Data Analyst</t>
  </si>
  <si>
    <t>Microsoft</t>
  </si>
  <si>
    <t>R004</t>
  </si>
  <si>
    <t>R005</t>
  </si>
  <si>
    <t>Google</t>
  </si>
  <si>
    <t>R006</t>
  </si>
  <si>
    <t>R007</t>
  </si>
  <si>
    <t>Low</t>
  </si>
  <si>
    <t>R008</t>
  </si>
  <si>
    <t>R009</t>
  </si>
  <si>
    <t>R010</t>
  </si>
  <si>
    <t>Candidate_ID</t>
  </si>
  <si>
    <t>Recruiter</t>
  </si>
  <si>
    <t>Source</t>
  </si>
  <si>
    <t>Resume_Date</t>
  </si>
  <si>
    <t>Current_Stage</t>
  </si>
  <si>
    <t>Years_Exp</t>
  </si>
  <si>
    <t>Location</t>
  </si>
  <si>
    <t>C0001</t>
  </si>
  <si>
    <t>Harish</t>
  </si>
  <si>
    <t>LinkedIn</t>
  </si>
  <si>
    <t>Offer</t>
  </si>
  <si>
    <t>CA</t>
  </si>
  <si>
    <t>C0002</t>
  </si>
  <si>
    <t>Sneha</t>
  </si>
  <si>
    <t>CareerBuilder</t>
  </si>
  <si>
    <t>Screened</t>
  </si>
  <si>
    <t>C0003</t>
  </si>
  <si>
    <t>Monster</t>
  </si>
  <si>
    <t>Interview</t>
  </si>
  <si>
    <t>C0004</t>
  </si>
  <si>
    <t>Anita</t>
  </si>
  <si>
    <t>Hired</t>
  </si>
  <si>
    <t>NY</t>
  </si>
  <si>
    <t>C0005</t>
  </si>
  <si>
    <t>Rahul</t>
  </si>
  <si>
    <t>Indeed</t>
  </si>
  <si>
    <t>C0006</t>
  </si>
  <si>
    <t>ZipRecruiter</t>
  </si>
  <si>
    <t>C0007</t>
  </si>
  <si>
    <t>C0008</t>
  </si>
  <si>
    <t>C0009</t>
  </si>
  <si>
    <t>C0010</t>
  </si>
  <si>
    <t>TX</t>
  </si>
  <si>
    <t>C0011</t>
  </si>
  <si>
    <t>C0012</t>
  </si>
  <si>
    <t>FL</t>
  </si>
  <si>
    <t>C0013</t>
  </si>
  <si>
    <t>Rejected</t>
  </si>
  <si>
    <t>C0014</t>
  </si>
  <si>
    <t>Sourced</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</si>
  <si>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</si>
  <si>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</si>
  <si>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</si>
  <si>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</si>
  <si>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</si>
  <si>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</si>
  <si>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</si>
  <si>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</si>
  <si>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</si>
  <si>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</si>
  <si>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</si>
  <si>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</si>
  <si>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</si>
  <si>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</si>
  <si>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</si>
  <si>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</si>
  <si>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</si>
  <si>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</si>
  <si>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</si>
  <si>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</si>
  <si>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</si>
  <si>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</si>
  <si>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</si>
  <si>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</si>
  <si>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</si>
  <si>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</si>
  <si>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</si>
  <si>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</si>
  <si>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</si>
  <si>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</si>
  <si>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</si>
  <si>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</si>
  <si>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</si>
  <si>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</si>
  <si>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</si>
  <si>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</si>
  <si>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</si>
  <si>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</si>
  <si>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</si>
  <si>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</si>
  <si>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</si>
  <si>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</si>
  <si>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</si>
  <si>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</si>
  <si>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</si>
  <si>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</si>
  <si>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</si>
  <si>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</si>
  <si>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</si>
  <si>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</si>
  <si>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</si>
  <si>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</si>
  <si>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</si>
  <si>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</si>
  <si>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</si>
  <si>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</si>
  <si>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</si>
  <si>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</si>
  <si>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</si>
  <si>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</si>
  <si>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</si>
  <si>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</si>
  <si>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</si>
  <si>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</si>
  <si>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</si>
  <si>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</si>
  <si>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</si>
  <si>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</si>
  <si>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</si>
  <si>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</si>
  <si>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</si>
  <si>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</si>
  <si>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</si>
  <si>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</si>
  <si>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</si>
  <si>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</si>
  <si>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</si>
  <si>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</si>
  <si>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</si>
  <si>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</si>
  <si>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</si>
  <si>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</si>
  <si>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</si>
  <si>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</si>
  <si>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</si>
  <si>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</si>
  <si>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</si>
  <si>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</si>
  <si>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</si>
  <si>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</si>
  <si>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</si>
  <si>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</si>
  <si>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</si>
  <si>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</si>
  <si>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</si>
  <si>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</si>
  <si>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</si>
  <si>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</si>
  <si>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</si>
  <si>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</si>
  <si>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</si>
  <si>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</si>
  <si>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</si>
  <si>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</si>
  <si>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</si>
  <si>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</si>
  <si>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</si>
  <si>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</si>
  <si>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</si>
  <si>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</si>
  <si>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</si>
  <si>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</si>
  <si>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</si>
  <si>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</si>
  <si>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</si>
  <si>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</si>
  <si>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</si>
  <si>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</si>
  <si>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</si>
  <si>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</si>
  <si>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</si>
  <si>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</si>
  <si>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</si>
  <si>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</si>
  <si>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</si>
  <si>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</si>
  <si>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</si>
  <si>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</si>
  <si>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</si>
  <si>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</si>
  <si>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</si>
  <si>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</si>
  <si>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</si>
  <si>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</si>
  <si>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</si>
  <si>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</si>
  <si>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</si>
  <si>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</si>
  <si>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</si>
  <si>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</si>
  <si>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</si>
  <si>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</si>
  <si>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</si>
  <si>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</si>
  <si>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</si>
  <si>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</si>
  <si>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</si>
  <si>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</si>
  <si>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</si>
  <si>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</si>
  <si>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</si>
  <si>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</si>
  <si>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</si>
  <si>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</si>
  <si>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</si>
  <si>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</si>
  <si>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</si>
  <si>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</si>
  <si>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</si>
  <si>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</si>
  <si>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</si>
  <si>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</si>
  <si>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</si>
  <si>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</si>
  <si>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</si>
  <si>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</si>
  <si>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</si>
  <si>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</si>
  <si>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</si>
  <si>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</si>
  <si>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</si>
  <si>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</si>
  <si>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</si>
  <si>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</si>
  <si>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</si>
  <si>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</si>
  <si>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</si>
  <si>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</si>
  <si>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</si>
  <si>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</si>
  <si>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</si>
  <si>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</si>
  <si>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</si>
  <si>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</si>
  <si>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</si>
  <si>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</si>
  <si>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Activity_ID</t>
  </si>
  <si>
    <t>Activity_Type</t>
  </si>
  <si>
    <t>Activity_Date</t>
  </si>
  <si>
    <t>A0001</t>
  </si>
  <si>
    <t>Resume Submitted</t>
  </si>
  <si>
    <t>A0002</t>
  </si>
  <si>
    <t>Screen Completed</t>
  </si>
  <si>
    <t>A0003</t>
  </si>
  <si>
    <t>A0004</t>
  </si>
  <si>
    <t>A0005</t>
  </si>
  <si>
    <t>Offer Released</t>
  </si>
  <si>
    <t>A0006</t>
  </si>
  <si>
    <t>A0007</t>
  </si>
  <si>
    <t>Interview Scheduled</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</si>
  <si>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</si>
  <si>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</si>
  <si>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</si>
  <si>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</si>
  <si>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</si>
  <si>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</si>
  <si>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</si>
  <si>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</si>
  <si>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</si>
  <si>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</si>
  <si>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</si>
  <si>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</si>
  <si>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</si>
  <si>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</si>
  <si>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</si>
  <si>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</si>
  <si>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</si>
  <si>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</si>
  <si>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</si>
  <si>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</si>
  <si>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</si>
  <si>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</si>
  <si>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</si>
  <si>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</si>
  <si>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</si>
  <si>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</si>
  <si>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</si>
  <si>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</si>
  <si>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</si>
  <si>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</si>
  <si>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</si>
  <si>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</si>
  <si>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</si>
  <si>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</si>
  <si>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</si>
  <si>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</si>
  <si>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</si>
  <si>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</si>
  <si>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</si>
  <si>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</si>
  <si>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</si>
  <si>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</si>
  <si>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</si>
  <si>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</si>
  <si>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</si>
  <si>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</si>
  <si>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</si>
  <si>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</si>
  <si>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</si>
  <si>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</si>
  <si>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</si>
  <si>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</si>
  <si>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</si>
  <si>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</si>
  <si>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</si>
  <si>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</si>
  <si>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</si>
  <si>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</si>
  <si>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</si>
  <si>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</si>
  <si>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</si>
  <si>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</si>
  <si>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</si>
  <si>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</si>
  <si>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</si>
  <si>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</si>
  <si>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</si>
  <si>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</si>
  <si>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</si>
  <si>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</si>
  <si>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</si>
  <si>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</si>
  <si>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</si>
  <si>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</si>
  <si>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</si>
  <si>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</si>
  <si>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</si>
  <si>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</si>
  <si>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</si>
  <si>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</si>
  <si>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</si>
  <si>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</si>
  <si>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</si>
  <si>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</si>
  <si>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</si>
  <si>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</si>
  <si>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</si>
  <si>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A0095</t>
  </si>
  <si>
    <t>A0096</t>
  </si>
  <si>
    <t>A0097</t>
  </si>
  <si>
    <t>A0098</t>
  </si>
  <si>
    <t>A0099</t>
  </si>
  <si>
    <t>A0100</t>
  </si>
  <si>
    <t>A0101</t>
  </si>
  <si>
    <t>A0102</t>
  </si>
  <si>
    <t>A0103</t>
  </si>
  <si>
    <t>A0104</t>
  </si>
  <si>
    <t>A0105</t>
  </si>
  <si>
    <t>A0106</t>
  </si>
  <si>
    <t>A0107</t>
  </si>
  <si>
    <t>A0108</t>
  </si>
  <si>
    <t>A0109</t>
  </si>
  <si>
    <t>A0110</t>
  </si>
  <si>
    <t>A0111</t>
  </si>
  <si>
    <t>A0112</t>
  </si>
  <si>
    <t>A0113</t>
  </si>
  <si>
    <t>A0114</t>
  </si>
  <si>
    <t>A0115</t>
  </si>
  <si>
    <t>A0116</t>
  </si>
  <si>
    <t>A0117</t>
  </si>
  <si>
    <t>A0118</t>
  </si>
  <si>
    <t>A0119</t>
  </si>
  <si>
    <t>A0120</t>
  </si>
  <si>
    <t>A0121</t>
  </si>
  <si>
    <t>A0122</t>
  </si>
  <si>
    <t>A0123</t>
  </si>
  <si>
    <t>A0124</t>
  </si>
  <si>
    <t>A0125</t>
  </si>
  <si>
    <t>A0126</t>
  </si>
  <si>
    <t>A0127</t>
  </si>
  <si>
    <t>A0128</t>
  </si>
  <si>
    <t>A0129</t>
  </si>
  <si>
    <t>A0130</t>
  </si>
  <si>
    <t>A0131</t>
  </si>
  <si>
    <t>A0132</t>
  </si>
  <si>
    <t>A0133</t>
  </si>
  <si>
    <t>A0134</t>
  </si>
  <si>
    <t>A0135</t>
  </si>
  <si>
    <t>A0136</t>
  </si>
  <si>
    <t>A0137</t>
  </si>
  <si>
    <t>A0138</t>
  </si>
  <si>
    <t>A0139</t>
  </si>
  <si>
    <t>A0140</t>
  </si>
  <si>
    <t>A0141</t>
  </si>
  <si>
    <t>A0142</t>
  </si>
  <si>
    <t>A0143</t>
  </si>
  <si>
    <t>A0144</t>
  </si>
  <si>
    <t>A0145</t>
  </si>
  <si>
    <t>A0146</t>
  </si>
  <si>
    <t>A0147</t>
  </si>
  <si>
    <t>A0148</t>
  </si>
  <si>
    <t>A0149</t>
  </si>
  <si>
    <t>A0150</t>
  </si>
  <si>
    <t>A0151</t>
  </si>
  <si>
    <t>A0152</t>
  </si>
  <si>
    <t>A0153</t>
  </si>
  <si>
    <t>A0154</t>
  </si>
  <si>
    <t>A0155</t>
  </si>
  <si>
    <t>A0156</t>
  </si>
  <si>
    <t>A0157</t>
  </si>
  <si>
    <t>A0158</t>
  </si>
  <si>
    <t>A0159</t>
  </si>
  <si>
    <t>A0160</t>
  </si>
  <si>
    <t>A0161</t>
  </si>
  <si>
    <t>A0162</t>
  </si>
  <si>
    <t>A0163</t>
  </si>
  <si>
    <t>A0164</t>
  </si>
  <si>
    <t>A0165</t>
  </si>
  <si>
    <t>A0166</t>
  </si>
  <si>
    <t>A0167</t>
  </si>
  <si>
    <t>A0168</t>
  </si>
  <si>
    <t>A0169</t>
  </si>
  <si>
    <t>A0170</t>
  </si>
  <si>
    <t>A0171</t>
  </si>
  <si>
    <t>A0172</t>
  </si>
  <si>
    <t>A0173</t>
  </si>
  <si>
    <t>A0174</t>
  </si>
  <si>
    <t>A0175</t>
  </si>
  <si>
    <t>A0176</t>
  </si>
  <si>
    <t>A0177</t>
  </si>
  <si>
    <t>A0178</t>
  </si>
  <si>
    <t>A0179</t>
  </si>
  <si>
    <t>A0180</t>
  </si>
  <si>
    <t>A0181</t>
  </si>
  <si>
    <t>A0182</t>
  </si>
  <si>
    <t>A0183</t>
  </si>
  <si>
    <t>A0184</t>
  </si>
  <si>
    <t>A0185</t>
  </si>
  <si>
    <t>A0186</t>
  </si>
  <si>
    <t>A0187</t>
  </si>
  <si>
    <t>A0188</t>
  </si>
  <si>
    <t>A0189</t>
  </si>
  <si>
    <t>A0190</t>
  </si>
  <si>
    <t>A0191</t>
  </si>
  <si>
    <t>A0192</t>
  </si>
  <si>
    <t>A0193</t>
  </si>
  <si>
    <t>A0194</t>
  </si>
  <si>
    <t>A0195</t>
  </si>
  <si>
    <t>A0196</t>
  </si>
  <si>
    <t>A0197</t>
  </si>
  <si>
    <t>A0198</t>
  </si>
  <si>
    <t>A0199</t>
  </si>
  <si>
    <t>A0200</t>
  </si>
  <si>
    <t>A0201</t>
  </si>
  <si>
    <t>A0202</t>
  </si>
  <si>
    <t>A0203</t>
  </si>
  <si>
    <t>A0204</t>
  </si>
  <si>
    <t>A0205</t>
  </si>
  <si>
    <t>A0206</t>
  </si>
  <si>
    <t>A0207</t>
  </si>
  <si>
    <t>A0208</t>
  </si>
  <si>
    <t>A0209</t>
  </si>
  <si>
    <t>A0210</t>
  </si>
  <si>
    <t>A0211</t>
  </si>
  <si>
    <t>A0212</t>
  </si>
  <si>
    <t>A0213</t>
  </si>
  <si>
    <t>A0214</t>
  </si>
  <si>
    <t>A0215</t>
  </si>
  <si>
    <t>A0216</t>
  </si>
  <si>
    <t>A0217</t>
  </si>
  <si>
    <t>A0218</t>
  </si>
  <si>
    <t>A0219</t>
  </si>
  <si>
    <t>A0220</t>
  </si>
  <si>
    <t>A0221</t>
  </si>
  <si>
    <t>A0222</t>
  </si>
  <si>
    <t>A0223</t>
  </si>
  <si>
    <t>A0224</t>
  </si>
  <si>
    <t>A0225</t>
  </si>
  <si>
    <t>A0226</t>
  </si>
  <si>
    <t>A0227</t>
  </si>
  <si>
    <t>A0228</t>
  </si>
  <si>
    <t>A0229</t>
  </si>
  <si>
    <t>A0230</t>
  </si>
  <si>
    <t>A0231</t>
  </si>
  <si>
    <t>A0232</t>
  </si>
  <si>
    <t>A0233</t>
  </si>
  <si>
    <t>A0234</t>
  </si>
  <si>
    <t>A0235</t>
  </si>
  <si>
    <t>A0236</t>
  </si>
  <si>
    <t>A0237</t>
  </si>
  <si>
    <t>A0238</t>
  </si>
  <si>
    <t>A0239</t>
  </si>
  <si>
    <t>A0240</t>
  </si>
  <si>
    <t>A0241</t>
  </si>
  <si>
    <t>A0242</t>
  </si>
  <si>
    <t>A0243</t>
  </si>
  <si>
    <t>A0244</t>
  </si>
  <si>
    <t>A0245</t>
  </si>
  <si>
    <t>A0246</t>
  </si>
  <si>
    <t>A0247</t>
  </si>
  <si>
    <t>A0248</t>
  </si>
  <si>
    <t>A0249</t>
  </si>
  <si>
    <t>A0250</t>
  </si>
  <si>
    <t>A0251</t>
  </si>
  <si>
    <t>A0252</t>
  </si>
  <si>
    <t>A0253</t>
  </si>
  <si>
    <t>A0254</t>
  </si>
  <si>
    <t>A0255</t>
  </si>
  <si>
    <t>A0256</t>
  </si>
  <si>
    <t>A0257</t>
  </si>
  <si>
    <t>A0258</t>
  </si>
  <si>
    <t>A0259</t>
  </si>
  <si>
    <t>A0260</t>
  </si>
  <si>
    <t>A0261</t>
  </si>
  <si>
    <t>A0262</t>
  </si>
  <si>
    <t>A0263</t>
  </si>
  <si>
    <t>A0264</t>
  </si>
  <si>
    <t>A0265</t>
  </si>
  <si>
    <t>A0266</t>
  </si>
  <si>
    <t>A0267</t>
  </si>
  <si>
    <t>A0268</t>
  </si>
  <si>
    <t>A0269</t>
  </si>
  <si>
    <t>A0270</t>
  </si>
  <si>
    <t>A0271</t>
  </si>
  <si>
    <t>A0272</t>
  </si>
  <si>
    <t>A0273</t>
  </si>
  <si>
    <t>A0274</t>
  </si>
  <si>
    <t>A0275</t>
  </si>
  <si>
    <t>A0276</t>
  </si>
  <si>
    <t>A0277</t>
  </si>
  <si>
    <t>A0278</t>
  </si>
  <si>
    <t>A0279</t>
  </si>
  <si>
    <t>A0280</t>
  </si>
  <si>
    <t>A0281</t>
  </si>
  <si>
    <t>A0282</t>
  </si>
  <si>
    <t>A0283</t>
  </si>
  <si>
    <t>A0284</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</si>
  <si>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</si>
  <si>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</si>
  <si>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</si>
  <si>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</si>
  <si>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</si>
  <si>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</si>
  <si>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</si>
  <si>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</si>
  <si>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</si>
  <si>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</si>
  <si>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</si>
  <si>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</si>
  <si>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</si>
  <si>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</si>
  <si>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</si>
  <si>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</si>
  <si>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</si>
  <si>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</si>
  <si>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</si>
  <si>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</si>
  <si>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</si>
  <si>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</si>
  <si>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</si>
  <si>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</si>
  <si>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</si>
  <si>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</si>
  <si>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</si>
  <si>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</si>
  <si>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</si>
  <si>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</si>
  <si>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</si>
  <si>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</si>
  <si>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</si>
  <si>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</si>
  <si>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</si>
  <si>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</si>
  <si>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</si>
  <si>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</si>
  <si>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</si>
  <si>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</si>
  <si>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</si>
  <si>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</si>
  <si>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</si>
  <si>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</si>
  <si>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</si>
  <si>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</si>
  <si>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</si>
  <si>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</si>
  <si>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</si>
  <si>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</si>
  <si>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</si>
  <si>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</si>
  <si>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</si>
  <si>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</si>
  <si>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</si>
  <si>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</si>
  <si>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</si>
  <si>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</si>
  <si>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</si>
  <si>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</si>
  <si>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</si>
  <si>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</si>
  <si>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</si>
  <si>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</si>
  <si>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</si>
  <si>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</si>
  <si>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</si>
  <si>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</si>
  <si>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</si>
  <si>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</si>
  <si>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</si>
  <si>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</si>
  <si>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</si>
  <si>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</si>
  <si>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</si>
  <si>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</si>
  <si>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</si>
  <si>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</si>
  <si>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</si>
  <si>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</si>
  <si>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</si>
  <si>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</si>
  <si>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</si>
  <si>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A0368</t>
  </si>
  <si>
    <t>A0369</t>
  </si>
  <si>
    <t>A0370</t>
  </si>
  <si>
    <t>A0371</t>
  </si>
  <si>
    <t>A0372</t>
  </si>
  <si>
    <t>A0373</t>
  </si>
  <si>
    <t>A0374</t>
  </si>
  <si>
    <t>A0375</t>
  </si>
  <si>
    <t>A0376</t>
  </si>
  <si>
    <t>A0377</t>
  </si>
  <si>
    <t>A0378</t>
  </si>
  <si>
    <t>A0379</t>
  </si>
  <si>
    <t>A0380</t>
  </si>
  <si>
    <t>A0381</t>
  </si>
  <si>
    <t>A0382</t>
  </si>
  <si>
    <t>A0383</t>
  </si>
  <si>
    <t>A0384</t>
  </si>
  <si>
    <t>A0385</t>
  </si>
  <si>
    <t>A0386</t>
  </si>
  <si>
    <t>A0387</t>
  </si>
  <si>
    <t>A0388</t>
  </si>
  <si>
    <t>A0389</t>
  </si>
  <si>
    <t>A0390</t>
  </si>
  <si>
    <t>A0391</t>
  </si>
  <si>
    <t>A0392</t>
  </si>
  <si>
    <t>A0393</t>
  </si>
  <si>
    <t>A0394</t>
  </si>
  <si>
    <t>A0395</t>
  </si>
  <si>
    <t>A0396</t>
  </si>
  <si>
    <t>A0397</t>
  </si>
  <si>
    <t>A0398</t>
  </si>
  <si>
    <t>A0399</t>
  </si>
  <si>
    <t>A0400</t>
  </si>
  <si>
    <t>A0401</t>
  </si>
  <si>
    <t>A0402</t>
  </si>
  <si>
    <t>A0403</t>
  </si>
  <si>
    <t>A0404</t>
  </si>
  <si>
    <t>A0405</t>
  </si>
  <si>
    <t>A0406</t>
  </si>
  <si>
    <t>A0407</t>
  </si>
  <si>
    <t>A0408</t>
  </si>
  <si>
    <t>A0409</t>
  </si>
  <si>
    <t>A0410</t>
  </si>
  <si>
    <t>A0411</t>
  </si>
  <si>
    <t>A0412</t>
  </si>
  <si>
    <t>A0413</t>
  </si>
  <si>
    <t>A0414</t>
  </si>
  <si>
    <t>A0415</t>
  </si>
  <si>
    <t>A0416</t>
  </si>
  <si>
    <t>A0417</t>
  </si>
  <si>
    <t>A0418</t>
  </si>
  <si>
    <t>A0419</t>
  </si>
  <si>
    <t>A0420</t>
  </si>
  <si>
    <t>A0421</t>
  </si>
  <si>
    <t>A0422</t>
  </si>
  <si>
    <t>A0423</t>
  </si>
  <si>
    <t>A0424</t>
  </si>
  <si>
    <t>A0425</t>
  </si>
  <si>
    <t>A0426</t>
  </si>
  <si>
    <t>A0427</t>
  </si>
  <si>
    <t>A0428</t>
  </si>
  <si>
    <t>A0429</t>
  </si>
  <si>
    <t>A0430</t>
  </si>
  <si>
    <t>A0431</t>
  </si>
  <si>
    <t>A0432</t>
  </si>
  <si>
    <t>A0433</t>
  </si>
  <si>
    <t>A0434</t>
  </si>
  <si>
    <t>A0435</t>
  </si>
  <si>
    <t>A0436</t>
  </si>
  <si>
    <t>A0437</t>
  </si>
  <si>
    <t>A0438</t>
  </si>
  <si>
    <t>A0439</t>
  </si>
  <si>
    <t>A0440</t>
  </si>
  <si>
    <t>A0441</t>
  </si>
  <si>
    <t>A0442</t>
  </si>
  <si>
    <t>A0443</t>
  </si>
  <si>
    <t>A0444</t>
  </si>
  <si>
    <t>A0445</t>
  </si>
  <si>
    <t>A0446</t>
  </si>
  <si>
    <t>A0447</t>
  </si>
  <si>
    <t>A0448</t>
  </si>
  <si>
    <t>A0449</t>
  </si>
  <si>
    <t>A0450</t>
  </si>
  <si>
    <t>A0451</t>
  </si>
  <si>
    <t>A0452</t>
  </si>
  <si>
    <t>A0453</t>
  </si>
  <si>
    <t>A0454</t>
  </si>
  <si>
    <t>A0455</t>
  </si>
  <si>
    <t>A0456</t>
  </si>
  <si>
    <t>A0457</t>
  </si>
  <si>
    <t>A0458</t>
  </si>
  <si>
    <t>A0459</t>
  </si>
  <si>
    <t>A0460</t>
  </si>
  <si>
    <t>A0461</t>
  </si>
  <si>
    <t>A0462</t>
  </si>
  <si>
    <t>A0463</t>
  </si>
  <si>
    <t>A0464</t>
  </si>
  <si>
    <t>A0465</t>
  </si>
  <si>
    <t>A0466</t>
  </si>
  <si>
    <t>A0467</t>
  </si>
  <si>
    <t>A0468</t>
  </si>
  <si>
    <t>A0469</t>
  </si>
  <si>
    <t>A0470</t>
  </si>
  <si>
    <t>A0471</t>
  </si>
  <si>
    <t>A0472</t>
  </si>
  <si>
    <t>A0473</t>
  </si>
  <si>
    <t>A0474</t>
  </si>
  <si>
    <t>A0475</t>
  </si>
  <si>
    <t>A0476</t>
  </si>
  <si>
    <t>A0477</t>
  </si>
  <si>
    <t>A0478</t>
  </si>
  <si>
    <t>Recruiters</t>
  </si>
  <si>
    <t>Days_To_Submit</t>
  </si>
  <si>
    <t>Submission_Flag</t>
  </si>
  <si>
    <t>Interview_Flag</t>
  </si>
  <si>
    <t>Hire_Flag</t>
  </si>
  <si>
    <t>Interview_Date</t>
  </si>
  <si>
    <t>Hire_Date</t>
  </si>
  <si>
    <t>Time_to_Hire</t>
  </si>
  <si>
    <t>Invalid_Hire_Flag</t>
  </si>
  <si>
    <t>Submission_Date</t>
  </si>
  <si>
    <t>Time_to_Interview</t>
  </si>
  <si>
    <t>Grand Total</t>
  </si>
  <si>
    <t>Recruiter Productivity</t>
  </si>
  <si>
    <t>Source Quality</t>
  </si>
  <si>
    <t>Process Efficiency</t>
  </si>
  <si>
    <t>Hiring Funnel (FLAG-BASED)</t>
  </si>
  <si>
    <t>Submitted</t>
  </si>
  <si>
    <t>Interviewed</t>
  </si>
  <si>
    <t>Stage</t>
  </si>
  <si>
    <t xml:space="preserve">Count </t>
  </si>
  <si>
    <t>Total Candidates</t>
  </si>
  <si>
    <t>Total Hires</t>
  </si>
  <si>
    <t>Avg Days to Hire</t>
  </si>
  <si>
    <t>Pipeline Snapshot (Current Status)</t>
  </si>
  <si>
    <t>Avg  Days to Submit</t>
  </si>
  <si>
    <t>Avg Time to Interview</t>
  </si>
  <si>
    <t>Avg of Time to Hire</t>
  </si>
  <si>
    <t>Total Submission_Flag</t>
  </si>
  <si>
    <t>Total Interview_Flag</t>
  </si>
  <si>
    <t>Total Hire_Flag</t>
  </si>
  <si>
    <t>TOTAL CANDIDATES</t>
  </si>
  <si>
    <t>TOTAL HIRES</t>
  </si>
  <si>
    <t>AVG DAYS TO HIRE</t>
  </si>
  <si>
    <t>AVG DAYS TO SUBMIT</t>
  </si>
  <si>
    <t>Hiring Funnel Chart Pivot</t>
  </si>
  <si>
    <t>Recruiter Hires Chart Pivot</t>
  </si>
  <si>
    <t>Source Quality Chart Pivot</t>
  </si>
  <si>
    <t>Process Efficiency Chart Pivot</t>
  </si>
  <si>
    <t>Avg  Days_To_Submit</t>
  </si>
  <si>
    <t>Avg Time_to_Hire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</si>
</sst>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5" x14ac:knownFonts="1">
    <font>
      <sz val="11"/>
      <color theme="1"/>
      <name val="Calibri"/>
      <family val="2"/>
      <scheme val="minor"/>
    </font>
    <font>
      <b/>
      <sz val="11"/>
      <color theme="1"/>
      <name val="Calibri"/>
      <family val="2"/>
      <scheme val="minor"/>
    </font>
    <font>
      <b/>
      <sz val="16"/>
      <color theme="1"/>
      <name val="Calibri"/>
      <family val="2"/>
      <scheme val="minor"/>
    </font>
    <font>
      <b/>
      <sz val="11"/>
      <color rgb="FF374151"/>
      <name val="Calibri"/>
      <family val="2"/>
      <scheme val="minor"/>
    </font>
    <font>
      <b/>
      <sz val="26"/>
      <color rgb="FF000000"/>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indexed="64"/>
      </patternFill>
    </fill>
    <fill>
      <patternFill patternType="solid">
        <fgColor rgb="FFF9FAFB"/>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3">
    <xf numFmtId="0" fontId="0" fillId="0" borderId="0" xfId="0"/>
    <xf numFmtId="164" fontId="0" fillId="0" borderId="0" xfId="0" applyNumberFormat="1"/>
    <xf numFmtId="165" fontId="0" fillId="0" borderId="0" xfId="0" applyNumberFormat="1"/>
    <xf numFmtId="14" fontId="0" fillId="0" borderId="0" xfId="0" applyNumberFormat="1"/>
    <xf numFmtId="0" fontId="0" fillId="0" borderId="0" xfId="0" applyNumberFormat="1"/>
    <xf numFmtId="0" fontId="0" fillId="0" borderId="0" xfId="0" applyAlignment="1">
      <alignment horizontal="left"/>
    </xf>
    <xf numFmtId="1" fontId="0" fillId="0" borderId="0" xfId="0" applyNumberFormat="1"/>
    <xf numFmtId="0" fontId="0" fillId="0" borderId="0" xfId="0" applyAlignment="1">
      <alignment horizontal="center"/>
    </xf>
    <xf numFmtId="0" fontId="1" fillId="2" borderId="0" xfId="0" applyFont="1" applyFill="1"/>
    <xf numFmtId="0" fontId="1" fillId="2" borderId="0" xfId="0" applyFont="1" applyFill="1" applyAlignment="1">
      <alignment horizontal="right"/>
    </xf>
    <xf numFmtId="0" fontId="0" fillId="0" borderId="0" xfId="0" pivotButton="1" applyAlignment="1">
      <alignment horizontal="center"/>
    </xf>
    <xf numFmtId="0" fontId="0" fillId="0" borderId="0" xfId="0" applyAlignment="1"/>
    <xf numFmtId="0" fontId="0" fillId="0" borderId="0" xfId="0" pivotButton="1"/>
    <xf numFmtId="0" fontId="0" fillId="0" borderId="0" xfId="0" pivotButton="1" applyAlignment="1">
      <alignment horizontal="center" vertical="center"/>
    </xf>
    <xf numFmtId="0" fontId="0" fillId="0" borderId="0" xfId="0" applyAlignment="1">
      <alignment horizontal="center" vertical="center"/>
    </xf>
    <xf numFmtId="0" fontId="0" fillId="0" borderId="0" xfId="0" pivotButton="1" applyAlignment="1">
      <alignment horizontal="left" vertical="center"/>
    </xf>
    <xf numFmtId="0" fontId="0" fillId="0" borderId="0" xfId="0" applyAlignment="1">
      <alignment horizontal="right" vertical="center"/>
    </xf>
    <xf numFmtId="0" fontId="2" fillId="4"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2" xfId="0" applyFont="1" applyBorder="1" applyAlignment="1">
      <alignment horizontal="center"/>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 fontId="4" fillId="3" borderId="8" xfId="0" applyNumberFormat="1" applyFont="1" applyFill="1" applyBorder="1" applyAlignment="1">
      <alignment horizontal="center" vertical="center"/>
    </xf>
    <xf numFmtId="1" fontId="4" fillId="3" borderId="9" xfId="0" applyNumberFormat="1" applyFont="1" applyFill="1" applyBorder="1" applyAlignment="1">
      <alignment horizontal="center" vertical="center"/>
    </xf>
    <xf numFmtId="1" fontId="4" fillId="3" borderId="10" xfId="0" applyNumberFormat="1"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cellXfs>
  <cellStyles count="1">
    <cellStyle name="Normal" xfId="0" builtinId="0"/>
  </cellStyles>
  <dxfs count="61">
    <dxf>
      <alignment vertical="center"/>
    </dxf>
    <dxf>
      <alignment horizontal="left"/>
    </dxf>
    <dxf>
      <alignment vertical="center"/>
    </dxf>
    <dxf>
      <alignment horizontal="right"/>
    </dxf>
    <dxf>
      <numFmt numFmtId="1" formatCode="0"/>
    </dxf>
    <dxf>
      <alignment vertical="center"/>
    </dxf>
    <dxf>
      <alignment horizontal="left"/>
    </dxf>
    <dxf>
      <alignment vertical="center"/>
    </dxf>
    <dxf>
      <alignment horizontal="right"/>
    </dxf>
    <dxf>
      <numFmt numFmtId="1" formatCode="0"/>
    </dxf>
    <dxf>
      <numFmt numFmtId="1" formatCode="0"/>
    </dxf>
    <dxf>
      <alignment horizontal="right"/>
    </dxf>
    <dxf>
      <alignment vertical="center"/>
    </dxf>
    <dxf>
      <alignment horizontal="left"/>
    </dxf>
    <dxf>
      <alignment vertical="center"/>
    </dxf>
    <dxf>
      <alignment horizontal="right"/>
    </dxf>
    <dxf>
      <alignment vertical="center"/>
    </dxf>
    <dxf>
      <alignment horizontal="left"/>
    </dxf>
    <dxf>
      <alignment vertical="center"/>
    </dxf>
    <dxf>
      <alignment vertical="bottom"/>
    </dxf>
    <dxf>
      <alignment horizontal="center"/>
    </dxf>
    <dxf>
      <alignment horizontal="right"/>
    </dxf>
    <dxf>
      <alignment vertical="center"/>
    </dxf>
    <dxf>
      <alignment horizontal="left"/>
    </dxf>
    <dxf>
      <alignment vertical="center"/>
    </dxf>
    <dxf>
      <alignment vertical="bottom"/>
    </dxf>
    <dxf>
      <alignment horizontal="center"/>
    </dxf>
    <dxf>
      <alignment vertical="center"/>
    </dxf>
    <dxf>
      <alignment horizontal="center"/>
    </dxf>
    <dxf>
      <alignment horizontal="center"/>
    </dxf>
    <dxf>
      <alignment horizontal="center"/>
    </dxf>
    <dxf>
      <numFmt numFmtId="1" formatCode="0"/>
    </dxf>
    <dxf>
      <numFmt numFmtId="1" formatCode="0"/>
    </dxf>
    <dxf>
      <alignment vertical="bottom"/>
    </dxf>
    <dxf>
      <alignment horizontal="center"/>
    </dxf>
    <dxf>
      <alignment vertical="center"/>
    </dxf>
    <dxf>
      <alignment horizontal="center"/>
    </dxf>
    <dxf>
      <alignment vertical="center"/>
    </dxf>
    <dxf>
      <alignment horizontal="center"/>
    </dxf>
    <dxf>
      <alignment horizontal="center"/>
    </dxf>
    <dxf>
      <alignment horizontal="center"/>
    </dxf>
    <dxf>
      <numFmt numFmtId="1" formatCode="0"/>
    </dxf>
    <dxf>
      <numFmt numFmtId="1" formatCode="0"/>
    </dxf>
    <dxf>
      <alignment horizontal="center"/>
    </dxf>
    <dxf>
      <alignment horizontal="center"/>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yyyy\-mm\-dd;@"/>
    </dxf>
    <dxf>
      <numFmt numFmtId="165" formatCode="yyyy\-mm\-dd;@"/>
    </dxf>
    <dxf>
      <numFmt numFmtId="165" formatCode="yyyy\-mm\-dd;@"/>
    </dxf>
    <dxf>
      <numFmt numFmtId="165" formatCode="yyyy\-mm\-dd;@"/>
    </dxf>
    <dxf>
      <numFmt numFmtId="164" formatCode="yyyy\-mm\-dd"/>
    </dxf>
    <dxf>
      <numFmt numFmtId="164" formatCode="yyyy\-mm\-dd"/>
    </dxf>
    <dxf>
      <numFmt numFmtId="164" formatCode="yyyy\-mm\-dd"/>
    </dxf>
    <dxf>
      <numFmt numFmtId="164" formatCode="yyyy\-mm\-dd"/>
    </dxf>
  </dxfs>
  <tableStyles count="0" defaultTableStyle="TableStyleMedium9" defaultPivotStyle="PivotStyleLight16"/>
  <colors>
    <mruColors>
      <color rgb="FFF9FAFB"/>
      <color rgb="FFD1D5DB"/>
      <color rgb="FFFFFFFF"/>
      <color rgb="FF000000"/>
      <color rgb="FF374151"/>
      <color rgb="FF323232"/>
      <color rgb="FFBEBE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Pivot_Charts!$B$9:$B$11</c:f>
              <c:strCache>
                <c:ptCount val="3"/>
                <c:pt idx="0">
                  <c:v>Submitted</c:v>
                </c:pt>
                <c:pt idx="1">
                  <c:v>Interviewed</c:v>
                </c:pt>
                <c:pt idx="2">
                  <c:v>Hired</c:v>
                </c:pt>
              </c:strCache>
            </c:strRef>
          </c:cat>
          <c:val>
            <c:numRef>
              <c:f>Pivot_Charts!$C$9:$C$11</c:f>
              <c:numCache>
                <c:formatCode>General</c:formatCode>
                <c:ptCount val="3"/>
                <c:pt idx="0">
                  <c:v>101</c:v>
                </c:pt>
                <c:pt idx="1">
                  <c:v>97</c:v>
                </c:pt>
                <c:pt idx="2">
                  <c:v>93</c:v>
                </c:pt>
              </c:numCache>
            </c:numRef>
          </c:val>
          <c:extLst>
            <c:ext xmlns:c16="http://schemas.microsoft.com/office/drawing/2014/chart" uri="{C3380CC4-5D6E-409C-BE32-E72D297353CC}">
              <c16:uniqueId val="{00000000-3B4C-4D11-844D-31444A6B6DE8}"/>
            </c:ext>
          </c:extLst>
        </c:ser>
        <c:dLbls>
          <c:dLblPos val="outEnd"/>
          <c:showLegendKey val="0"/>
          <c:showVal val="1"/>
          <c:showCatName val="0"/>
          <c:showSerName val="0"/>
          <c:showPercent val="0"/>
          <c:showBubbleSize val="0"/>
        </c:dLbls>
        <c:gapWidth val="219"/>
        <c:overlap val="-27"/>
        <c:axId val="1560113024"/>
        <c:axId val="1560115520"/>
      </c:barChart>
      <c:catAx>
        <c:axId val="15601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5520"/>
        <c:crosses val="autoZero"/>
        <c:auto val="1"/>
        <c:lblAlgn val="ctr"/>
        <c:lblOffset val="100"/>
        <c:noMultiLvlLbl val="0"/>
      </c:catAx>
      <c:valAx>
        <c:axId val="156011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[Recruitment_Tracker_From_Scratch.xlsx]Pivot_Charts!Recruiter Productivity Chart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Hires by Recruiter</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Pivot_Charts!$B$20:$B$24</c:f>
              <c:strCache>
                <c:ptCount val="4"/>
                <c:pt idx="0">
                  <c:v>Harish</c:v>
                </c:pt>
                <c:pt idx="1">
                  <c:v>Rahul</c:v>
                </c:pt>
                <c:pt idx="2">
                  <c:v>Sneha</c:v>
                </c:pt>
                <c:pt idx="3">
                  <c:v>Anita</c:v>
                </c:pt>
              </c:strCache>
            </c:strRef>
          </c:cat>
          <c:val>
            <c:numRef>
              <c:f>Pivot_Charts!$C$20:$C$24</c:f>
              <c:numCache>
                <c:formatCode>General</c:formatCode>
                <c:ptCount val="4"/>
                <c:pt idx="0">
                  <c:v>29</c:v>
                </c:pt>
                <c:pt idx="1">
                  <c:v>22</c:v>
                </c:pt>
                <c:pt idx="2">
                  <c:v>21</c:v>
                </c:pt>
                <c:pt idx="3">
                  <c:v>21</c:v>
                </c:pt>
              </c:numCache>
            </c:numRef>
          </c:val>
          <c:extLst>
            <c:ext xmlns:c16="http://schemas.microsoft.com/office/drawing/2014/chart" uri="{C3380CC4-5D6E-409C-BE32-E72D297353CC}">
              <c16:uniqueId val="{00000002-A38A-4719-9ECA-0FC654FC9D4C}"/>
            </c:ext>
          </c:extLst>
        </c:ser>
        <c:dLbls>
          <c:dLblPos val="outEnd"/>
          <c:showLegendKey val="0"/>
          <c:showVal val="1"/>
          <c:showCatName val="0"/>
          <c:showSerName val="0"/>
          <c:showPercent val="0"/>
          <c:showBubbleSize val="0"/>
        </c:dLbls>
        <c:gapWidth val="219"/>
        <c:overlap val="-27"/>
        <c:axId val="1560113024"/>
        <c:axId val="1560115520"/>
      </c:barChart>
      <c:catAx>
        <c:axId val="15601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5520"/>
        <c:crosses val="autoZero"/>
        <c:auto val="1"/>
        <c:lblAlgn val="ctr"/>
        <c:lblOffset val="100"/>
        <c:noMultiLvlLbl val="0"/>
      </c:catAx>
      <c:valAx>
        <c:axId val="156011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[Recruitment_Tracker_From_Scratch.xlsx]Pivot_Charts!Source Quality Chart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Hires by Source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Pivot_Charts!$C$32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Pivot_Charts!$B$33:$B$38</c:f>
              <c:strCache>
                <c:ptCount val="5"/>
                <c:pt idx="0">
                  <c:v>LinkedIn</c:v>
                </c:pt>
                <c:pt idx="1">
                  <c:v>ZipRecruiter</c:v>
                </c:pt>
                <c:pt idx="2">
                  <c:v>Monster</c:v>
                </c:pt>
                <c:pt idx="3">
                  <c:v>CareerBuilder</c:v>
                </c:pt>
                <c:pt idx="4">
                  <c:v>Indeed</c:v>
                </c:pt>
              </c:strCache>
            </c:strRef>
          </c:cat>
          <c:val>
            <c:numRef>
              <c:f>Pivot_Charts!$C$33:$C$38</c:f>
              <c:numCache>
                <c:formatCode>General</c:formatCode>
                <c:ptCount val="5"/>
                <c:pt idx="0">
                  <c:v>12</c:v>
                </c:pt>
                <c:pt idx="1">
                  <c:v>17</c:v>
                </c:pt>
                <c:pt idx="2">
                  <c:v>19</c:v>
                </c:pt>
                <c:pt idx="3">
                  <c:v>22</c:v>
                </c:pt>
                <c:pt idx="4">
                  <c:v>23</c:v>
                </c:pt>
              </c:numCache>
            </c:numRef>
          </c:val>
          <c:extLst>
            <c:ext xmlns:c16="http://schemas.microsoft.com/office/drawing/2014/chart" uri="{C3380CC4-5D6E-409C-BE32-E72D297353CC}">
              <c16:uniqueId val="{00000002-B477-460A-8E8B-AEB1678FDBBB}"/>
            </c:ext>
          </c:extLst>
        </c:ser>
        <c:dLbls>
          <c:dLblPos val="outEnd"/>
          <c:showLegendKey val="0"/>
          <c:showVal val="1"/>
          <c:showCatName val="0"/>
          <c:showSerName val="0"/>
          <c:showPercent val="0"/>
          <c:showBubbleSize val="0"/>
        </c:dLbls>
        <c:gapWidth val="219"/>
        <c:axId val="1560113024"/>
        <c:axId val="1560115520"/>
      </c:barChart>
      <c:catAx>
        <c:axId val="156011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5520"/>
        <c:crosses val="autoZero"/>
        <c:auto val="1"/>
        <c:lblAlgn val="ctr"/>
        <c:lblOffset val="100"/>
        <c:noMultiLvlLbl val="0"/>
      </c:catAx>
      <c:valAx>
        <c:axId val="156011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[Recruitment_Tracker_From_Scratch.xlsx]Pivot_Charts!Time Metrics 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Process Efficiency (Days)</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Pivot_Charts!$C$46</c:f>
              <c:strCache>
                <c:ptCount val="1"/>
                <c:pt idx="0">
                  <c:v>Avg  Days_To_Submit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Pivot_Charts!$B$47:$B$51</c:f>
              <c:strCache>
                <c:ptCount val="4"/>
                <c:pt idx="0">
                  <c:v>Anita</c:v>
                </c:pt>
                <c:pt idx="1">
                  <c:v>Harish</c:v>
                </c:pt>
                <c:pt idx="2">
                  <c:v>Rahul</c:v>
                </c:pt>
                <c:pt idx="3">
                  <c:v>Sneha</c:v>
                </c:pt>
              </c:strCache>
            </c:strRef>
          </c:cat>
          <c:val>
            <c:numRef>
              <c:f>Pivot_Charts!$C$47:$C$51</c:f>
              <c:numCache>
                <c:formatCode>0</c:formatCode>
                <c:ptCount val="4"/>
                <c:pt idx="0">
                  <c:v>15.333333333333334</c:v>
                </c:pt>
                <c:pt idx="1">
                  <c:v>9.9642857142857135</c:v>
                </c:pt>
                <c:pt idx="2">
                  <c:v>9.7222222222222214</c:v>
                </c:pt>
                <c:pt idx="3">
                  <c:v>13.333333333333334</c:v>
                </c:pt>
              </c:numCache>
            </c:numRef>
          </c:val>
          <c:extLst>
            <c:ext xmlns:c16="http://schemas.microsoft.com/office/drawing/2014/chart" uri="{C3380CC4-5D6E-409C-BE32-E72D297353CC}">
              <c16:uniqueId val="{00000002-9537-45B7-8745-F80DF0046B7A}"/>
            </c:ext>
          </c:extLst>
        </c:ser>
        <c:ser>
          <c:idx val="1"/>
          <c:order val="1"/>
          <c:tx>
            <c:strRef>
              <c:f>Pivot_Charts!$D$46</c:f>
              <c:strCache>
                <c:ptCount val="1"/>
                <c:pt idx="0">
                  <c:v>Avg Time_to_Hire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Pivot_Charts!$B$47:$B$51</c:f>
              <c:strCache>
                <c:ptCount val="4"/>
                <c:pt idx="0">
                  <c:v>Anita</c:v>
                </c:pt>
                <c:pt idx="1">
                  <c:v>Harish</c:v>
                </c:pt>
                <c:pt idx="2">
                  <c:v>Rahul</c:v>
                </c:pt>
                <c:pt idx="3">
                  <c:v>Sneha</c:v>
                </c:pt>
              </c:strCache>
            </c:strRef>
          </c:cat>
          <c:val>
            <c:numRef>
              <c:f>Pivot_Charts!$D$47:$D$51</c:f>
              <c:numCache>
                <c:formatCode>0</c:formatCode>
                <c:ptCount val="4"/>
                <c:pt idx="0">
                  <c:v>2.6666666666666665</c:v>
                </c:pt>
                <c:pt idx="1">
                  <c:v>4.5</c:v>
                </c:pt>
                <c:pt idx="2">
                  <c:v>2.8571428571428572</c:v>
                </c:pt>
                <c:pt idx="3">
                  <c:v>4.8</c:v>
                </c:pt>
              </c:numCache>
            </c:numRef>
          </c:val>
          <c:extLst>
            <c:ext xmlns:c16="http://schemas.microsoft.com/office/drawing/2014/chart" uri="{C3380CC4-5D6E-409C-BE32-E72D297353CC}">
              <c16:uniqueId val="{00000003-9537-45B7-8745-F80DF0046B7A}"/>
            </c:ext>
          </c:extLst>
        </c:ser>
        <c:dLbls>
          <c:dLblPos val="outEnd"/>
          <c:showLegendKey val="0"/>
          <c:showVal val="1"/>
          <c:showCatName val="0"/>
          <c:showSerName val="0"/>
          <c:showPercent val="0"/>
          <c:showBubbleSize val="0"/>
        </c:dLbls>
        <c:gapWidth val="219"/>
        <c:overlap val="-27"/>
        <c:axId val="1560113024"/>
        <c:axId val="1560115520"/>
      </c:barChart>
      <c:catAx>
        <c:axId val="15601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5520"/>
        <c:crosses val="autoZero"/>
        <c:auto val="1"/>
        <c:lblAlgn val="ctr"/>
        <c:lblOffset val="100"/>
        <c:noMultiLvlLbl val="0"/>
      </c:catAx>
      <c:valAx>
        <c:axId val="1560115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1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1</xdr:rowOff>
    </xdr:from>
    <xdr:to>
      <xdr:col>5</xdr:col>
      <xdr:colOff>0</xdr:colOff>
      <xdr:row>20</xdr:row>
      <xdr:rowOff>10585</xdr:rowOff>
    </xdr:to>
    <xdr:graphicFrame macro="">
      <xdr:nvGraphicFramePr>
        <xdr:cNvPr id="2" name="Chart 1">
          <a:extLst>
            <a:ext uri="{FF2B5EF4-FFF2-40B4-BE49-F238E27FC236}">
              <a16:creationId xmlns:a16="http://schemas.microsoft.com/office/drawing/2014/main" id="{C4D773E4-C533-4A3A-A4FD-AB0E236B9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10</xdr:col>
      <xdr:colOff>0</xdr:colOff>
      <xdr:row>20</xdr:row>
      <xdr:rowOff>10584</xdr:rowOff>
    </xdr:to>
    <xdr:graphicFrame macro="">
      <xdr:nvGraphicFramePr>
        <xdr:cNvPr id="3" name="Chart 2">
          <a:extLst>
            <a:ext uri="{FF2B5EF4-FFF2-40B4-BE49-F238E27FC236}">
              <a16:creationId xmlns:a16="http://schemas.microsoft.com/office/drawing/2014/main" id="{B16FF39B-D97B-46F6-B2DB-3597B155A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21</xdr:row>
      <xdr:rowOff>0</xdr:rowOff>
    </xdr:from>
    <xdr:to>
      <xdr:col>5</xdr:col>
      <xdr:colOff>0</xdr:colOff>
      <xdr:row>32</xdr:row>
      <xdr:rowOff>63500</xdr:rowOff>
    </xdr:to>
    <xdr:graphicFrame macro="">
      <xdr:nvGraphicFramePr>
        <xdr:cNvPr id="6" name="Chart 5">
          <a:extLst>
            <a:ext uri="{FF2B5EF4-FFF2-40B4-BE49-F238E27FC236}">
              <a16:creationId xmlns:a16="http://schemas.microsoft.com/office/drawing/2014/main" id="{87DDB51B-E66E-4DA8-B7AF-02D6BF5C5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21</xdr:row>
      <xdr:rowOff>0</xdr:rowOff>
    </xdr:from>
    <xdr:to>
      <xdr:col>10</xdr:col>
      <xdr:colOff>0</xdr:colOff>
      <xdr:row>32</xdr:row>
      <xdr:rowOff>63500</xdr:rowOff>
    </xdr:to>
    <xdr:graphicFrame macro="">
      <xdr:nvGraphicFramePr>
        <xdr:cNvPr id="8" name="Chart 7">
          <a:extLst>
            <a:ext uri="{FF2B5EF4-FFF2-40B4-BE49-F238E27FC236}">
              <a16:creationId xmlns:a16="http://schemas.microsoft.com/office/drawing/2014/main" id="{A152257C-CE4F-4AF3-AE77-198F156E8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21454</xdr:colOff>
      <xdr:row>7</xdr:row>
      <xdr:rowOff>15714</xdr:rowOff>
    </xdr:from>
    <xdr:to>
      <xdr:col>12</xdr:col>
      <xdr:colOff>12194</xdr:colOff>
      <xdr:row>12</xdr:row>
      <xdr:rowOff>23231</xdr:rowOff>
    </xdr:to>
    <mc:AlternateContent xmlns:mc="http://schemas.openxmlformats.org/markup-compatibility/2006" xmlns:a14="http://schemas.microsoft.com/office/drawing/2010/main">
      <mc:Choice Requires="a14">
        <xdr:graphicFrame macro="">
          <xdr:nvGraphicFramePr>
            <xdr:cNvPr id="9" name="Recruiter">
              <a:extLst>
                <a:ext uri="{FF2B5EF4-FFF2-40B4-BE49-F238E27FC236}">
                  <a16:creationId xmlns:a16="http://schemas.microsoft.com/office/drawing/2014/main" id="{120E745E-8161-4BD7-8E88-0C25F9C3C915}"/>
                </a:ext>
              </a:extLst>
            </xdr:cNvPr>
            <xdr:cNvGraphicFramePr/>
          </xdr:nvGraphicFramePr>
          <xdr:xfrm>
            <a:off x="0" y="0"/>
            <a:ext cx="0" cy="0"/>
          </xdr:xfrm>
          <a:graphic>
            <a:graphicData uri="http://schemas.microsoft.com/office/drawing/2010/slicer">
              <sle:slicer xmlns:sle="http://schemas.microsoft.com/office/drawing/2010/slicer" name="Recruiter"/>
            </a:graphicData>
          </a:graphic>
        </xdr:graphicFrame>
      </mc:Choice>
      <mc:Fallback xmlns="">
        <xdr:sp macro="" textlink="">
          <xdr:nvSpPr>
            <xdr:cNvPr id="0" name=""/>
            <xdr:cNvSpPr>
              <a:spLocks noTextEdit="1"/>
            </xdr:cNvSpPr>
          </xdr:nvSpPr>
          <xdr:spPr>
            <a:xfrm>
              <a:off x="10580265" y="1769708"/>
              <a:ext cx="1373027" cy="1505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8808</xdr:colOff>
      <xdr:row>19</xdr:row>
      <xdr:rowOff>18811</xdr:rowOff>
    </xdr:from>
    <xdr:to>
      <xdr:col>11</xdr:col>
      <xdr:colOff>1370672</xdr:colOff>
      <xdr:row>25</xdr:row>
      <xdr:rowOff>0</xdr:rowOff>
    </xdr:to>
    <mc:AlternateContent xmlns:mc="http://schemas.openxmlformats.org/markup-compatibility/2006" xmlns:a14="http://schemas.microsoft.com/office/drawing/2010/main">
      <mc:Choice Requires="a14">
        <xdr:graphicFrame macro="">
          <xdr:nvGraphicFramePr>
            <xdr:cNvPr id="10" name="Source">
              <a:extLst>
                <a:ext uri="{FF2B5EF4-FFF2-40B4-BE49-F238E27FC236}">
                  <a16:creationId xmlns:a16="http://schemas.microsoft.com/office/drawing/2014/main" id="{1355FB88-952F-4DE3-82EF-B9D00E74962C}"/>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0567619" y="5385335"/>
              <a:ext cx="1361864" cy="1793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Patil" refreshedDate="46036.706159606481" createdVersion="7" refreshedVersion="7" minRefreshableVersion="3" recordCount="200" xr:uid="{C26DB30B-CC85-4737-AE7F-34557DE1EC9D}">
  <cacheSource type="worksheet">
    <worksheetSource name="Data_Model"/>
  </cacheSource>
  <cacheFields count="18">
    <cacheField name="Candidate_ID" numFmtId="0">
      <sharedItems/>
    </cacheField>
    <cacheField name="Req_ID" numFmtId="0">
      <sharedItems/>
    </cacheField>
    <cacheField name="Recruiter" numFmtId="0">
      <sharedItems count="4">
        <s v="Harish"/>
        <s v="Sneha"/>
        <s v="Anita"/>
        <s v="Rahul"/>
      </sharedItems>
    </cacheField>
    <cacheField name="Source" numFmtId="0">
      <sharedItems count="5">
        <s v="LinkedIn"/>
        <s v="CareerBuilder"/>
        <s v="Monster"/>
        <s v="Indeed"/>
        <s v="ZipRecruiter"/>
      </sharedItems>
    </cacheField>
    <cacheField name="Resume_Date" numFmtId="165">
      <sharedItems containsSemiMixedTypes="0" containsNonDate="0" containsDate="1" containsString="0" minDate="2025-01-01T00:00:00" maxDate="2025-01-21T00:00:00"/>
    </cacheField>
    <cacheField name="Current_Stage" numFmtId="0">
      <sharedItems count="6">
        <s v="Offer"/>
        <s v="Screened"/>
        <s v="Interview"/>
        <s v="Hired"/>
        <s v="Rejected"/>
        <s v="Sourced"/>
      </sharedItems>
    </cacheField>
    <cacheField name="Years_Exp" numFmtId="0">
      <sharedItems containsSemiMixedTypes="0" containsString="0" containsNumber="1" containsInteger="1" minValue="1" maxValue="10"/>
    </cacheField>
    <cacheField name="Location" numFmtId="0">
      <sharedItems/>
    </cacheField>
    <cacheField name="Submission_Date" numFmtId="165">
      <sharedItems containsDate="1" containsMixedTypes="1" minDate="2025-01-05T00:00:00" maxDate="2025-02-05T00:00:00"/>
    </cacheField>
    <cacheField name="Interview_Date" numFmtId="165">
      <sharedItems containsDate="1" containsMixedTypes="1" minDate="2025-01-03T00:00:00" maxDate="2025-02-05T00:00:00"/>
    </cacheField>
    <cacheField name="Hire_Date" numFmtId="165">
      <sharedItems containsDate="1" containsMixedTypes="1" minDate="2025-01-04T00:00:00" maxDate="2025-02-04T00:00:00"/>
    </cacheField>
    <cacheField name="Submission_Flag" numFmtId="0">
      <sharedItems containsSemiMixedTypes="0" containsString="0" containsNumber="1" containsInteger="1" minValue="0" maxValue="1" count="2">
        <n v="1"/>
        <n v="0"/>
      </sharedItems>
    </cacheField>
    <cacheField name="Interview_Flag" numFmtId="0">
      <sharedItems containsSemiMixedTypes="0" containsString="0" containsNumber="1" containsInteger="1" minValue="0" maxValue="1"/>
    </cacheField>
    <cacheField name="Hire_Flag" numFmtId="0">
      <sharedItems containsSemiMixedTypes="0" containsString="0" containsNumber="1" containsInteger="1" minValue="0" maxValue="1"/>
    </cacheField>
    <cacheField name="Days_To_Submit" numFmtId="0">
      <sharedItems containsMixedTypes="1" containsNumber="1" containsInteger="1" minValue="1" maxValue="29"/>
    </cacheField>
    <cacheField name="Time_to_Interview" numFmtId="0">
      <sharedItems containsMixedTypes="1" containsNumber="1" containsInteger="1" minValue="1" maxValue="11"/>
    </cacheField>
    <cacheField name="Time_to_Hire" numFmtId="0">
      <sharedItems containsMixedTypes="1" containsNumber="1" containsInteger="1" minValue="0" maxValue="9"/>
    </cacheField>
    <cacheField name="Invalid_Hire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73242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0001"/>
    <s v="R005"/>
    <x v="0"/>
    <x v="0"/>
    <d v="2025-01-18T00:00:00"/>
    <x v="0"/>
    <n v="9"/>
    <s v="CA"/>
    <d v="2025-01-19T00:00:00"/>
    <s v=""/>
    <s v=""/>
    <x v="0"/>
    <n v="0"/>
    <n v="0"/>
    <n v="1"/>
    <s v=""/>
    <s v=""/>
    <n v="0"/>
  </r>
  <r>
    <s v="C0002"/>
    <s v="R001"/>
    <x v="1"/>
    <x v="1"/>
    <d v="2025-01-12T00:00:00"/>
    <x v="1"/>
    <n v="9"/>
    <s v="CA"/>
    <d v="2025-01-30T00:00:00"/>
    <s v=""/>
    <d v="2025-01-29T00:00:00"/>
    <x v="0"/>
    <n v="0"/>
    <n v="1"/>
    <n v="18"/>
    <s v=""/>
    <s v=""/>
    <n v="1"/>
  </r>
  <r>
    <s v="C0003"/>
    <s v="R001"/>
    <x v="0"/>
    <x v="2"/>
    <d v="2025-01-14T00:00:00"/>
    <x v="2"/>
    <n v="3"/>
    <s v="CA"/>
    <d v="2025-01-13T00:00:00"/>
    <d v="2025-01-18T00:00:00"/>
    <s v=""/>
    <x v="0"/>
    <n v="1"/>
    <n v="0"/>
    <s v=""/>
    <n v="5"/>
    <s v=""/>
    <n v="0"/>
  </r>
  <r>
    <s v="C0004"/>
    <s v="R002"/>
    <x v="2"/>
    <x v="0"/>
    <d v="2025-01-02T00:00:00"/>
    <x v="3"/>
    <n v="4"/>
    <s v="NY"/>
    <d v="2025-01-20T00:00:00"/>
    <s v=""/>
    <s v=""/>
    <x v="0"/>
    <n v="0"/>
    <n v="0"/>
    <n v="18"/>
    <s v=""/>
    <s v=""/>
    <n v="0"/>
  </r>
  <r>
    <s v="C0005"/>
    <s v="R006"/>
    <x v="3"/>
    <x v="3"/>
    <d v="2025-01-07T00:00:00"/>
    <x v="3"/>
    <n v="7"/>
    <s v="NY"/>
    <d v="2025-01-13T00:00:00"/>
    <d v="2025-01-24T00:00:00"/>
    <s v=""/>
    <x v="0"/>
    <n v="1"/>
    <n v="0"/>
    <n v="6"/>
    <n v="11"/>
    <s v=""/>
    <n v="0"/>
  </r>
  <r>
    <s v="C0006"/>
    <s v="R002"/>
    <x v="3"/>
    <x v="4"/>
    <d v="2025-01-08T00:00:00"/>
    <x v="0"/>
    <n v="9"/>
    <s v="NY"/>
    <d v="2025-01-13T00:00:00"/>
    <s v=""/>
    <d v="2025-01-04T00:00:00"/>
    <x v="0"/>
    <n v="0"/>
    <n v="1"/>
    <n v="5"/>
    <s v=""/>
    <s v=""/>
    <n v="1"/>
  </r>
  <r>
    <s v="C0007"/>
    <s v="R001"/>
    <x v="0"/>
    <x v="3"/>
    <d v="2025-01-16T00:00:00"/>
    <x v="2"/>
    <n v="3"/>
    <s v="CA"/>
    <d v="2025-01-21T00:00:00"/>
    <d v="2025-01-18T00:00:00"/>
    <s v=""/>
    <x v="0"/>
    <n v="1"/>
    <n v="0"/>
    <n v="5"/>
    <s v=""/>
    <s v=""/>
    <n v="0"/>
  </r>
  <r>
    <s v="C0008"/>
    <s v="R008"/>
    <x v="1"/>
    <x v="3"/>
    <d v="2025-01-05T00:00:00"/>
    <x v="3"/>
    <n v="4"/>
    <s v="CA"/>
    <d v="2025-01-24T00:00:00"/>
    <s v=""/>
    <d v="2025-01-30T00:00:00"/>
    <x v="0"/>
    <n v="0"/>
    <n v="1"/>
    <n v="19"/>
    <s v=""/>
    <n v="6"/>
    <n v="0"/>
  </r>
  <r>
    <s v="C0009"/>
    <s v="R002"/>
    <x v="0"/>
    <x v="2"/>
    <d v="2025-01-04T00:00:00"/>
    <x v="1"/>
    <n v="4"/>
    <s v="NY"/>
    <d v="2025-01-12T00:00:00"/>
    <d v="2025-01-16T00:00:00"/>
    <d v="2025-01-19T00:00:00"/>
    <x v="0"/>
    <n v="1"/>
    <n v="1"/>
    <n v="8"/>
    <n v="4"/>
    <n v="7"/>
    <n v="0"/>
  </r>
  <r>
    <s v="C0010"/>
    <s v="R010"/>
    <x v="2"/>
    <x v="3"/>
    <d v="2025-01-10T00:00:00"/>
    <x v="2"/>
    <n v="1"/>
    <s v="TX"/>
    <d v="2025-01-23T00:00:00"/>
    <d v="2025-01-29T00:00:00"/>
    <d v="2025-01-25T00:00:00"/>
    <x v="0"/>
    <n v="1"/>
    <n v="1"/>
    <n v="13"/>
    <n v="6"/>
    <n v="2"/>
    <n v="0"/>
  </r>
  <r>
    <s v="C0011"/>
    <s v="R008"/>
    <x v="2"/>
    <x v="3"/>
    <d v="2025-01-14T00:00:00"/>
    <x v="0"/>
    <n v="7"/>
    <s v="NY"/>
    <d v="2025-02-04T00:00:00"/>
    <s v=""/>
    <s v=""/>
    <x v="0"/>
    <n v="0"/>
    <n v="0"/>
    <n v="21"/>
    <s v=""/>
    <s v=""/>
    <n v="0"/>
  </r>
  <r>
    <s v="C0012"/>
    <s v="R006"/>
    <x v="1"/>
    <x v="3"/>
    <d v="2025-01-20T00:00:00"/>
    <x v="1"/>
    <n v="4"/>
    <s v="FL"/>
    <d v="2025-01-14T00:00:00"/>
    <d v="2025-01-09T00:00:00"/>
    <d v="2025-01-17T00:00:00"/>
    <x v="0"/>
    <n v="1"/>
    <n v="1"/>
    <s v=""/>
    <s v=""/>
    <n v="3"/>
    <n v="0"/>
  </r>
  <r>
    <s v="C0013"/>
    <s v="R001"/>
    <x v="3"/>
    <x v="1"/>
    <d v="2025-01-20T00:00:00"/>
    <x v="4"/>
    <n v="1"/>
    <s v="CA"/>
    <s v=""/>
    <d v="2025-02-02T00:00:00"/>
    <d v="2025-01-25T00:00:00"/>
    <x v="1"/>
    <n v="1"/>
    <n v="1"/>
    <s v=""/>
    <s v=""/>
    <s v=""/>
    <n v="0"/>
  </r>
  <r>
    <s v="C0014"/>
    <s v="R006"/>
    <x v="0"/>
    <x v="1"/>
    <d v="2025-01-06T00:00:00"/>
    <x v="5"/>
    <n v="1"/>
    <s v="NY"/>
    <s v=""/>
    <s v=""/>
    <d v="2025-01-22T00:00:00"/>
    <x v="1"/>
    <n v="0"/>
    <n v="1"/>
    <s v=""/>
    <s v=""/>
    <s v=""/>
    <n v="0"/>
  </r>
  <r>
    <s v="C0015"/>
    <s v="R004"/>
    <x v="1"/>
    <x v="1"/>
    <d v="2025-01-03T00:00:00"/>
    <x v="5"/>
    <n v="5"/>
    <s v="CA"/>
    <s v=""/>
    <s v=""/>
    <d v="2025-02-03T00:00:00"/>
    <x v="1"/>
    <n v="0"/>
    <n v="1"/>
    <s v=""/>
    <s v=""/>
    <s v=""/>
    <n v="0"/>
  </r>
  <r>
    <s v="C0016"/>
    <s v="R001"/>
    <x v="2"/>
    <x v="3"/>
    <d v="2025-01-09T00:00:00"/>
    <x v="1"/>
    <n v="6"/>
    <s v="TX"/>
    <d v="2025-01-26T00:00:00"/>
    <d v="2025-01-15T00:00:00"/>
    <s v=""/>
    <x v="0"/>
    <n v="1"/>
    <n v="0"/>
    <n v="17"/>
    <s v=""/>
    <s v=""/>
    <n v="0"/>
  </r>
  <r>
    <s v="C0017"/>
    <s v="R009"/>
    <x v="1"/>
    <x v="2"/>
    <d v="2025-01-19T00:00:00"/>
    <x v="2"/>
    <n v="2"/>
    <s v="NY"/>
    <d v="2025-01-05T00:00:00"/>
    <s v=""/>
    <s v=""/>
    <x v="0"/>
    <n v="0"/>
    <n v="0"/>
    <s v=""/>
    <s v=""/>
    <s v=""/>
    <n v="0"/>
  </r>
  <r>
    <s v="C0018"/>
    <s v="R006"/>
    <x v="0"/>
    <x v="1"/>
    <d v="2025-01-06T00:00:00"/>
    <x v="4"/>
    <n v="5"/>
    <s v="CA"/>
    <d v="2025-01-15T00:00:00"/>
    <s v=""/>
    <d v="2025-01-15T00:00:00"/>
    <x v="0"/>
    <n v="0"/>
    <n v="1"/>
    <n v="9"/>
    <s v=""/>
    <n v="0"/>
    <n v="0"/>
  </r>
  <r>
    <s v="C0019"/>
    <s v="R008"/>
    <x v="3"/>
    <x v="3"/>
    <d v="2025-01-02T00:00:00"/>
    <x v="4"/>
    <n v="2"/>
    <s v="CA"/>
    <s v=""/>
    <s v=""/>
    <d v="2025-01-27T00:00:00"/>
    <x v="1"/>
    <n v="0"/>
    <n v="1"/>
    <s v=""/>
    <s v=""/>
    <s v=""/>
    <n v="0"/>
  </r>
  <r>
    <s v="C0020"/>
    <s v="R007"/>
    <x v="3"/>
    <x v="4"/>
    <d v="2025-01-12T00:00:00"/>
    <x v="2"/>
    <n v="4"/>
    <s v="CA"/>
    <d v="2025-01-28T00:00:00"/>
    <d v="2025-01-22T00:00:00"/>
    <s v=""/>
    <x v="0"/>
    <n v="1"/>
    <n v="0"/>
    <n v="16"/>
    <s v=""/>
    <s v=""/>
    <n v="0"/>
  </r>
  <r>
    <s v="C0021"/>
    <s v="R009"/>
    <x v="0"/>
    <x v="0"/>
    <d v="2025-01-11T00:00:00"/>
    <x v="2"/>
    <n v="5"/>
    <s v="TX"/>
    <s v=""/>
    <d v="2025-01-23T00:00:00"/>
    <s v=""/>
    <x v="1"/>
    <n v="1"/>
    <n v="0"/>
    <s v=""/>
    <s v=""/>
    <s v=""/>
    <n v="0"/>
  </r>
  <r>
    <s v="C0022"/>
    <s v="R004"/>
    <x v="2"/>
    <x v="2"/>
    <d v="2025-01-01T00:00:00"/>
    <x v="1"/>
    <n v="7"/>
    <s v="FL"/>
    <s v=""/>
    <s v=""/>
    <s v=""/>
    <x v="1"/>
    <n v="0"/>
    <n v="0"/>
    <s v=""/>
    <s v=""/>
    <s v=""/>
    <n v="0"/>
  </r>
  <r>
    <s v="C0023"/>
    <s v="R007"/>
    <x v="0"/>
    <x v="4"/>
    <d v="2025-01-16T00:00:00"/>
    <x v="0"/>
    <n v="5"/>
    <s v="FL"/>
    <s v=""/>
    <d v="2025-01-11T00:00:00"/>
    <s v=""/>
    <x v="1"/>
    <n v="1"/>
    <n v="0"/>
    <s v=""/>
    <s v=""/>
    <s v=""/>
    <n v="0"/>
  </r>
  <r>
    <s v="C0024"/>
    <s v="R010"/>
    <x v="0"/>
    <x v="1"/>
    <d v="2025-01-09T00:00:00"/>
    <x v="2"/>
    <n v="3"/>
    <s v="NY"/>
    <d v="2025-01-20T00:00:00"/>
    <d v="2025-01-24T00:00:00"/>
    <d v="2025-01-21T00:00:00"/>
    <x v="0"/>
    <n v="1"/>
    <n v="1"/>
    <n v="11"/>
    <n v="4"/>
    <n v="1"/>
    <n v="0"/>
  </r>
  <r>
    <s v="C0025"/>
    <s v="R005"/>
    <x v="2"/>
    <x v="2"/>
    <d v="2025-01-17T00:00:00"/>
    <x v="4"/>
    <n v="3"/>
    <s v="NY"/>
    <d v="2025-01-23T00:00:00"/>
    <s v=""/>
    <d v="2025-01-27T00:00:00"/>
    <x v="0"/>
    <n v="0"/>
    <n v="1"/>
    <n v="6"/>
    <s v=""/>
    <n v="4"/>
    <n v="0"/>
  </r>
  <r>
    <s v="C0026"/>
    <s v="R001"/>
    <x v="2"/>
    <x v="4"/>
    <d v="2025-01-02T00:00:00"/>
    <x v="2"/>
    <n v="3"/>
    <s v="FL"/>
    <d v="2025-01-14T00:00:00"/>
    <s v=""/>
    <d v="2025-01-09T00:00:00"/>
    <x v="0"/>
    <n v="0"/>
    <n v="1"/>
    <n v="12"/>
    <s v=""/>
    <s v=""/>
    <n v="1"/>
  </r>
  <r>
    <s v="C0027"/>
    <s v="R001"/>
    <x v="1"/>
    <x v="3"/>
    <d v="2025-01-09T00:00:00"/>
    <x v="3"/>
    <n v="9"/>
    <s v="NY"/>
    <s v=""/>
    <s v=""/>
    <d v="2025-01-07T00:00:00"/>
    <x v="1"/>
    <n v="0"/>
    <n v="1"/>
    <s v=""/>
    <s v=""/>
    <s v=""/>
    <n v="0"/>
  </r>
  <r>
    <s v="C0028"/>
    <s v="R007"/>
    <x v="0"/>
    <x v="0"/>
    <d v="2025-01-03T00:00:00"/>
    <x v="2"/>
    <n v="10"/>
    <s v="CA"/>
    <s v=""/>
    <d v="2025-01-15T00:00:00"/>
    <d v="2025-01-25T00:00:00"/>
    <x v="1"/>
    <n v="1"/>
    <n v="1"/>
    <s v=""/>
    <s v=""/>
    <s v=""/>
    <n v="0"/>
  </r>
  <r>
    <s v="C0029"/>
    <s v="R004"/>
    <x v="0"/>
    <x v="1"/>
    <d v="2025-01-05T00:00:00"/>
    <x v="5"/>
    <n v="1"/>
    <s v="CA"/>
    <d v="2025-01-13T00:00:00"/>
    <d v="2025-01-11T00:00:00"/>
    <d v="2025-01-16T00:00:00"/>
    <x v="0"/>
    <n v="1"/>
    <n v="1"/>
    <n v="8"/>
    <s v=""/>
    <n v="3"/>
    <n v="0"/>
  </r>
  <r>
    <s v="C0030"/>
    <s v="R007"/>
    <x v="0"/>
    <x v="1"/>
    <d v="2025-01-02T00:00:00"/>
    <x v="1"/>
    <n v="9"/>
    <s v="CA"/>
    <s v=""/>
    <s v=""/>
    <d v="2025-01-14T00:00:00"/>
    <x v="1"/>
    <n v="0"/>
    <n v="1"/>
    <s v=""/>
    <s v=""/>
    <s v=""/>
    <n v="0"/>
  </r>
  <r>
    <s v="C0031"/>
    <s v="R005"/>
    <x v="1"/>
    <x v="0"/>
    <d v="2025-01-05T00:00:00"/>
    <x v="5"/>
    <n v="7"/>
    <s v="NY"/>
    <s v=""/>
    <s v=""/>
    <s v=""/>
    <x v="1"/>
    <n v="0"/>
    <n v="0"/>
    <s v=""/>
    <s v=""/>
    <s v=""/>
    <n v="0"/>
  </r>
  <r>
    <s v="C0032"/>
    <s v="R007"/>
    <x v="0"/>
    <x v="3"/>
    <d v="2025-01-02T00:00:00"/>
    <x v="2"/>
    <n v="1"/>
    <s v="NY"/>
    <s v=""/>
    <d v="2025-01-05T00:00:00"/>
    <d v="2025-01-10T00:00:00"/>
    <x v="1"/>
    <n v="1"/>
    <n v="1"/>
    <s v=""/>
    <s v=""/>
    <s v=""/>
    <n v="0"/>
  </r>
  <r>
    <s v="C0033"/>
    <s v="R002"/>
    <x v="2"/>
    <x v="2"/>
    <d v="2025-01-08T00:00:00"/>
    <x v="1"/>
    <n v="3"/>
    <s v="FL"/>
    <s v=""/>
    <s v=""/>
    <s v=""/>
    <x v="1"/>
    <n v="0"/>
    <n v="0"/>
    <s v=""/>
    <s v=""/>
    <s v=""/>
    <n v="0"/>
  </r>
  <r>
    <s v="C0034"/>
    <s v="R001"/>
    <x v="1"/>
    <x v="1"/>
    <d v="2025-01-12T00:00:00"/>
    <x v="4"/>
    <n v="4"/>
    <s v="CA"/>
    <d v="2025-01-16T00:00:00"/>
    <s v=""/>
    <s v=""/>
    <x v="0"/>
    <n v="0"/>
    <n v="0"/>
    <n v="4"/>
    <s v=""/>
    <s v=""/>
    <n v="0"/>
  </r>
  <r>
    <s v="C0035"/>
    <s v="R006"/>
    <x v="2"/>
    <x v="2"/>
    <d v="2025-01-03T00:00:00"/>
    <x v="2"/>
    <n v="8"/>
    <s v="CA"/>
    <d v="2025-01-18T00:00:00"/>
    <s v=""/>
    <s v=""/>
    <x v="0"/>
    <n v="0"/>
    <n v="0"/>
    <n v="15"/>
    <s v=""/>
    <s v=""/>
    <n v="0"/>
  </r>
  <r>
    <s v="C0036"/>
    <s v="R006"/>
    <x v="3"/>
    <x v="1"/>
    <d v="2025-01-17T00:00:00"/>
    <x v="3"/>
    <n v="10"/>
    <s v="FL"/>
    <d v="2025-01-20T00:00:00"/>
    <d v="2025-01-21T00:00:00"/>
    <d v="2025-01-20T00:00:00"/>
    <x v="0"/>
    <n v="1"/>
    <n v="1"/>
    <n v="3"/>
    <n v="1"/>
    <n v="0"/>
    <n v="0"/>
  </r>
  <r>
    <s v="C0037"/>
    <s v="R002"/>
    <x v="1"/>
    <x v="2"/>
    <d v="2025-01-15T00:00:00"/>
    <x v="4"/>
    <n v="10"/>
    <s v="NY"/>
    <s v=""/>
    <s v=""/>
    <s v=""/>
    <x v="1"/>
    <n v="0"/>
    <n v="0"/>
    <s v=""/>
    <s v=""/>
    <s v=""/>
    <n v="0"/>
  </r>
  <r>
    <s v="C0038"/>
    <s v="R007"/>
    <x v="0"/>
    <x v="3"/>
    <d v="2025-01-08T00:00:00"/>
    <x v="1"/>
    <n v="2"/>
    <s v="TX"/>
    <d v="2025-01-15T00:00:00"/>
    <d v="2025-01-19T00:00:00"/>
    <s v=""/>
    <x v="0"/>
    <n v="1"/>
    <n v="0"/>
    <n v="7"/>
    <n v="4"/>
    <s v=""/>
    <n v="0"/>
  </r>
  <r>
    <s v="C0039"/>
    <s v="R002"/>
    <x v="0"/>
    <x v="0"/>
    <d v="2025-01-05T00:00:00"/>
    <x v="2"/>
    <n v="3"/>
    <s v="FL"/>
    <d v="2025-01-08T00:00:00"/>
    <d v="2025-01-11T00:00:00"/>
    <s v=""/>
    <x v="0"/>
    <n v="1"/>
    <n v="0"/>
    <n v="3"/>
    <n v="3"/>
    <s v=""/>
    <n v="0"/>
  </r>
  <r>
    <s v="C0040"/>
    <s v="R007"/>
    <x v="2"/>
    <x v="1"/>
    <d v="2025-01-08T00:00:00"/>
    <x v="5"/>
    <n v="10"/>
    <s v="FL"/>
    <s v=""/>
    <d v="2025-01-20T00:00:00"/>
    <d v="2025-01-20T00:00:00"/>
    <x v="1"/>
    <n v="1"/>
    <n v="1"/>
    <s v=""/>
    <s v=""/>
    <s v=""/>
    <n v="0"/>
  </r>
  <r>
    <s v="C0041"/>
    <s v="R004"/>
    <x v="3"/>
    <x v="2"/>
    <d v="2025-01-17T00:00:00"/>
    <x v="5"/>
    <n v="6"/>
    <s v="NY"/>
    <d v="2025-01-22T00:00:00"/>
    <d v="2025-01-25T00:00:00"/>
    <d v="2025-01-14T00:00:00"/>
    <x v="0"/>
    <n v="1"/>
    <n v="1"/>
    <n v="5"/>
    <n v="3"/>
    <s v=""/>
    <n v="1"/>
  </r>
  <r>
    <s v="C0042"/>
    <s v="R005"/>
    <x v="0"/>
    <x v="4"/>
    <d v="2025-01-08T00:00:00"/>
    <x v="5"/>
    <n v="7"/>
    <s v="CA"/>
    <s v=""/>
    <d v="2025-01-25T00:00:00"/>
    <s v=""/>
    <x v="1"/>
    <n v="1"/>
    <n v="0"/>
    <s v=""/>
    <s v=""/>
    <s v=""/>
    <n v="0"/>
  </r>
  <r>
    <s v="C0043"/>
    <s v="R001"/>
    <x v="1"/>
    <x v="0"/>
    <d v="2025-01-15T00:00:00"/>
    <x v="0"/>
    <n v="7"/>
    <s v="TX"/>
    <d v="2025-01-13T00:00:00"/>
    <s v=""/>
    <s v=""/>
    <x v="0"/>
    <n v="0"/>
    <n v="0"/>
    <s v=""/>
    <s v=""/>
    <s v=""/>
    <n v="0"/>
  </r>
  <r>
    <s v="C0044"/>
    <s v="R010"/>
    <x v="0"/>
    <x v="4"/>
    <d v="2025-01-17T00:00:00"/>
    <x v="4"/>
    <n v="4"/>
    <s v="TX"/>
    <d v="2025-01-14T00:00:00"/>
    <d v="2025-01-16T00:00:00"/>
    <d v="2025-01-19T00:00:00"/>
    <x v="0"/>
    <n v="1"/>
    <n v="1"/>
    <s v=""/>
    <n v="2"/>
    <n v="5"/>
    <n v="0"/>
  </r>
  <r>
    <s v="C0045"/>
    <s v="R001"/>
    <x v="2"/>
    <x v="2"/>
    <d v="2025-01-09T00:00:00"/>
    <x v="5"/>
    <n v="3"/>
    <s v="CA"/>
    <s v=""/>
    <d v="2025-01-16T00:00:00"/>
    <d v="2025-01-10T00:00:00"/>
    <x v="1"/>
    <n v="1"/>
    <n v="1"/>
    <s v=""/>
    <s v=""/>
    <s v=""/>
    <n v="0"/>
  </r>
  <r>
    <s v="C0046"/>
    <s v="R001"/>
    <x v="0"/>
    <x v="2"/>
    <d v="2025-01-06T00:00:00"/>
    <x v="2"/>
    <n v="8"/>
    <s v="TX"/>
    <s v=""/>
    <d v="2025-01-08T00:00:00"/>
    <s v=""/>
    <x v="1"/>
    <n v="1"/>
    <n v="0"/>
    <s v=""/>
    <s v=""/>
    <s v=""/>
    <n v="0"/>
  </r>
  <r>
    <s v="C0047"/>
    <s v="R009"/>
    <x v="1"/>
    <x v="3"/>
    <d v="2025-01-20T00:00:00"/>
    <x v="1"/>
    <n v="8"/>
    <s v="CA"/>
    <d v="2025-01-26T00:00:00"/>
    <s v=""/>
    <d v="2025-01-18T00:00:00"/>
    <x v="0"/>
    <n v="0"/>
    <n v="1"/>
    <n v="6"/>
    <s v=""/>
    <s v=""/>
    <n v="1"/>
  </r>
  <r>
    <s v="C0048"/>
    <s v="R007"/>
    <x v="2"/>
    <x v="0"/>
    <d v="2025-01-05T00:00:00"/>
    <x v="3"/>
    <n v="9"/>
    <s v="FL"/>
    <s v=""/>
    <d v="2025-01-24T00:00:00"/>
    <d v="2025-01-26T00:00:00"/>
    <x v="1"/>
    <n v="1"/>
    <n v="1"/>
    <s v=""/>
    <s v=""/>
    <s v=""/>
    <n v="0"/>
  </r>
  <r>
    <s v="C0049"/>
    <s v="R003"/>
    <x v="1"/>
    <x v="3"/>
    <d v="2025-01-16T00:00:00"/>
    <x v="4"/>
    <n v="6"/>
    <s v="TX"/>
    <s v=""/>
    <s v=""/>
    <d v="2025-01-28T00:00:00"/>
    <x v="1"/>
    <n v="0"/>
    <n v="1"/>
    <s v=""/>
    <s v=""/>
    <s v=""/>
    <n v="0"/>
  </r>
  <r>
    <s v="C0050"/>
    <s v="R007"/>
    <x v="0"/>
    <x v="4"/>
    <d v="2025-01-14T00:00:00"/>
    <x v="4"/>
    <n v="5"/>
    <s v="TX"/>
    <s v=""/>
    <s v=""/>
    <s v=""/>
    <x v="1"/>
    <n v="0"/>
    <n v="0"/>
    <s v=""/>
    <s v=""/>
    <s v=""/>
    <n v="0"/>
  </r>
  <r>
    <s v="C0051"/>
    <s v="R006"/>
    <x v="2"/>
    <x v="0"/>
    <d v="2025-01-08T00:00:00"/>
    <x v="0"/>
    <n v="8"/>
    <s v="FL"/>
    <s v=""/>
    <d v="2025-01-12T00:00:00"/>
    <d v="2025-01-26T00:00:00"/>
    <x v="1"/>
    <n v="1"/>
    <n v="1"/>
    <s v=""/>
    <s v=""/>
    <s v=""/>
    <n v="0"/>
  </r>
  <r>
    <s v="C0052"/>
    <s v="R005"/>
    <x v="3"/>
    <x v="2"/>
    <d v="2025-01-18T00:00:00"/>
    <x v="1"/>
    <n v="9"/>
    <s v="FL"/>
    <d v="2025-01-20T00:00:00"/>
    <s v=""/>
    <s v=""/>
    <x v="0"/>
    <n v="0"/>
    <n v="0"/>
    <n v="2"/>
    <s v=""/>
    <s v=""/>
    <n v="0"/>
  </r>
  <r>
    <s v="C0053"/>
    <s v="R002"/>
    <x v="2"/>
    <x v="2"/>
    <d v="2025-01-12T00:00:00"/>
    <x v="5"/>
    <n v="7"/>
    <s v="TX"/>
    <s v=""/>
    <d v="2025-01-16T00:00:00"/>
    <d v="2025-01-17T00:00:00"/>
    <x v="1"/>
    <n v="1"/>
    <n v="1"/>
    <s v=""/>
    <s v=""/>
    <s v=""/>
    <n v="0"/>
  </r>
  <r>
    <s v="C0054"/>
    <s v="R007"/>
    <x v="0"/>
    <x v="3"/>
    <d v="2025-01-02T00:00:00"/>
    <x v="2"/>
    <n v="2"/>
    <s v="NY"/>
    <s v=""/>
    <d v="2025-01-17T00:00:00"/>
    <d v="2025-01-11T00:00:00"/>
    <x v="1"/>
    <n v="1"/>
    <n v="1"/>
    <s v=""/>
    <s v=""/>
    <s v=""/>
    <n v="0"/>
  </r>
  <r>
    <s v="C0055"/>
    <s v="R010"/>
    <x v="0"/>
    <x v="0"/>
    <d v="2025-01-16T00:00:00"/>
    <x v="4"/>
    <n v="8"/>
    <s v="TX"/>
    <d v="2025-01-23T00:00:00"/>
    <d v="2025-01-25T00:00:00"/>
    <s v=""/>
    <x v="0"/>
    <n v="1"/>
    <n v="0"/>
    <n v="7"/>
    <n v="2"/>
    <s v=""/>
    <n v="0"/>
  </r>
  <r>
    <s v="C0056"/>
    <s v="R002"/>
    <x v="2"/>
    <x v="3"/>
    <d v="2025-01-10T00:00:00"/>
    <x v="4"/>
    <n v="6"/>
    <s v="FL"/>
    <d v="2025-02-02T00:00:00"/>
    <s v=""/>
    <d v="2025-01-25T00:00:00"/>
    <x v="0"/>
    <n v="0"/>
    <n v="1"/>
    <n v="23"/>
    <s v=""/>
    <s v=""/>
    <n v="1"/>
  </r>
  <r>
    <s v="C0057"/>
    <s v="R008"/>
    <x v="2"/>
    <x v="4"/>
    <d v="2025-01-15T00:00:00"/>
    <x v="4"/>
    <n v="2"/>
    <s v="TX"/>
    <s v=""/>
    <s v=""/>
    <s v=""/>
    <x v="1"/>
    <n v="0"/>
    <n v="0"/>
    <s v=""/>
    <s v=""/>
    <s v=""/>
    <n v="0"/>
  </r>
  <r>
    <s v="C0058"/>
    <s v="R005"/>
    <x v="3"/>
    <x v="1"/>
    <d v="2025-01-08T00:00:00"/>
    <x v="3"/>
    <n v="4"/>
    <s v="TX"/>
    <d v="2025-01-20T00:00:00"/>
    <d v="2025-01-27T00:00:00"/>
    <d v="2025-01-21T00:00:00"/>
    <x v="0"/>
    <n v="1"/>
    <n v="1"/>
    <n v="12"/>
    <n v="7"/>
    <n v="1"/>
    <n v="0"/>
  </r>
  <r>
    <s v="C0059"/>
    <s v="R007"/>
    <x v="3"/>
    <x v="1"/>
    <d v="2025-01-08T00:00:00"/>
    <x v="0"/>
    <n v="1"/>
    <s v="CA"/>
    <d v="2025-01-29T00:00:00"/>
    <d v="2025-01-25T00:00:00"/>
    <d v="2025-01-30T00:00:00"/>
    <x v="0"/>
    <n v="1"/>
    <n v="1"/>
    <n v="21"/>
    <s v=""/>
    <n v="1"/>
    <n v="0"/>
  </r>
  <r>
    <s v="C0060"/>
    <s v="R008"/>
    <x v="1"/>
    <x v="0"/>
    <d v="2025-01-03T00:00:00"/>
    <x v="1"/>
    <n v="5"/>
    <s v="FL"/>
    <d v="2025-01-29T00:00:00"/>
    <s v=""/>
    <d v="2025-01-22T00:00:00"/>
    <x v="0"/>
    <n v="0"/>
    <n v="1"/>
    <n v="26"/>
    <s v=""/>
    <s v=""/>
    <n v="1"/>
  </r>
  <r>
    <s v="C0061"/>
    <s v="R008"/>
    <x v="1"/>
    <x v="4"/>
    <d v="2025-01-20T00:00:00"/>
    <x v="5"/>
    <n v="8"/>
    <s v="NY"/>
    <d v="2025-01-06T00:00:00"/>
    <d v="2025-01-09T00:00:00"/>
    <s v=""/>
    <x v="0"/>
    <n v="1"/>
    <n v="0"/>
    <s v=""/>
    <n v="3"/>
    <s v=""/>
    <n v="0"/>
  </r>
  <r>
    <s v="C0062"/>
    <s v="R009"/>
    <x v="2"/>
    <x v="4"/>
    <d v="2025-01-11T00:00:00"/>
    <x v="1"/>
    <n v="5"/>
    <s v="NY"/>
    <s v=""/>
    <d v="2025-01-09T00:00:00"/>
    <s v=""/>
    <x v="1"/>
    <n v="1"/>
    <n v="0"/>
    <s v=""/>
    <s v=""/>
    <s v=""/>
    <n v="0"/>
  </r>
  <r>
    <s v="C0063"/>
    <s v="R010"/>
    <x v="2"/>
    <x v="0"/>
    <d v="2025-01-01T00:00:00"/>
    <x v="0"/>
    <n v="5"/>
    <s v="CA"/>
    <s v=""/>
    <s v=""/>
    <s v=""/>
    <x v="1"/>
    <n v="0"/>
    <n v="0"/>
    <s v=""/>
    <s v=""/>
    <s v=""/>
    <n v="0"/>
  </r>
  <r>
    <s v="C0064"/>
    <s v="R002"/>
    <x v="0"/>
    <x v="1"/>
    <d v="2025-01-14T00:00:00"/>
    <x v="3"/>
    <n v="2"/>
    <s v="FL"/>
    <s v=""/>
    <s v=""/>
    <d v="2025-01-19T00:00:00"/>
    <x v="1"/>
    <n v="0"/>
    <n v="1"/>
    <s v=""/>
    <s v=""/>
    <s v=""/>
    <n v="0"/>
  </r>
  <r>
    <s v="C0065"/>
    <s v="R008"/>
    <x v="2"/>
    <x v="2"/>
    <d v="2025-01-15T00:00:00"/>
    <x v="4"/>
    <n v="1"/>
    <s v="FL"/>
    <s v=""/>
    <s v=""/>
    <d v="2025-01-12T00:00:00"/>
    <x v="1"/>
    <n v="0"/>
    <n v="1"/>
    <s v=""/>
    <s v=""/>
    <s v=""/>
    <n v="0"/>
  </r>
  <r>
    <s v="C0066"/>
    <s v="R008"/>
    <x v="3"/>
    <x v="3"/>
    <d v="2025-01-01T00:00:00"/>
    <x v="0"/>
    <n v="4"/>
    <s v="TX"/>
    <s v=""/>
    <d v="2025-01-17T00:00:00"/>
    <d v="2025-01-25T00:00:00"/>
    <x v="1"/>
    <n v="1"/>
    <n v="1"/>
    <s v=""/>
    <s v=""/>
    <s v=""/>
    <n v="0"/>
  </r>
  <r>
    <s v="C0067"/>
    <s v="R010"/>
    <x v="2"/>
    <x v="0"/>
    <d v="2025-01-19T00:00:00"/>
    <x v="3"/>
    <n v="4"/>
    <s v="FL"/>
    <d v="2025-01-13T00:00:00"/>
    <s v=""/>
    <s v=""/>
    <x v="0"/>
    <n v="0"/>
    <n v="0"/>
    <s v=""/>
    <s v=""/>
    <s v=""/>
    <n v="0"/>
  </r>
  <r>
    <s v="C0068"/>
    <s v="R007"/>
    <x v="2"/>
    <x v="4"/>
    <d v="2025-01-08T00:00:00"/>
    <x v="3"/>
    <n v="5"/>
    <s v="NY"/>
    <s v=""/>
    <s v=""/>
    <s v=""/>
    <x v="1"/>
    <n v="0"/>
    <n v="0"/>
    <s v=""/>
    <s v=""/>
    <s v=""/>
    <n v="0"/>
  </r>
  <r>
    <s v="C0069"/>
    <s v="R008"/>
    <x v="2"/>
    <x v="4"/>
    <d v="2025-01-04T00:00:00"/>
    <x v="1"/>
    <n v="4"/>
    <s v="NY"/>
    <d v="2025-01-14T00:00:00"/>
    <s v=""/>
    <s v=""/>
    <x v="0"/>
    <n v="0"/>
    <n v="0"/>
    <n v="10"/>
    <s v=""/>
    <s v=""/>
    <n v="0"/>
  </r>
  <r>
    <s v="C0070"/>
    <s v="R005"/>
    <x v="0"/>
    <x v="3"/>
    <d v="2025-01-18T00:00:00"/>
    <x v="2"/>
    <n v="10"/>
    <s v="FL"/>
    <d v="2025-01-30T00:00:00"/>
    <s v=""/>
    <d v="2025-01-24T00:00:00"/>
    <x v="0"/>
    <n v="0"/>
    <n v="1"/>
    <n v="12"/>
    <s v=""/>
    <s v=""/>
    <n v="1"/>
  </r>
  <r>
    <s v="C0071"/>
    <s v="R007"/>
    <x v="3"/>
    <x v="1"/>
    <d v="2025-01-15T00:00:00"/>
    <x v="5"/>
    <n v="6"/>
    <s v="TX"/>
    <d v="2025-01-21T00:00:00"/>
    <s v=""/>
    <d v="2025-01-29T00:00:00"/>
    <x v="0"/>
    <n v="0"/>
    <n v="1"/>
    <n v="6"/>
    <s v=""/>
    <n v="8"/>
    <n v="0"/>
  </r>
  <r>
    <s v="C0072"/>
    <s v="R004"/>
    <x v="1"/>
    <x v="1"/>
    <d v="2025-01-15T00:00:00"/>
    <x v="1"/>
    <n v="3"/>
    <s v="CA"/>
    <d v="2025-01-29T00:00:00"/>
    <d v="2025-01-21T00:00:00"/>
    <s v=""/>
    <x v="0"/>
    <n v="1"/>
    <n v="0"/>
    <n v="14"/>
    <s v=""/>
    <s v=""/>
    <n v="0"/>
  </r>
  <r>
    <s v="C0073"/>
    <s v="R008"/>
    <x v="0"/>
    <x v="0"/>
    <d v="2025-01-08T00:00:00"/>
    <x v="3"/>
    <n v="5"/>
    <s v="TX"/>
    <d v="2025-01-18T00:00:00"/>
    <d v="2025-01-24T00:00:00"/>
    <s v=""/>
    <x v="0"/>
    <n v="1"/>
    <n v="0"/>
    <n v="10"/>
    <n v="6"/>
    <s v=""/>
    <n v="0"/>
  </r>
  <r>
    <s v="C0074"/>
    <s v="R003"/>
    <x v="1"/>
    <x v="4"/>
    <d v="2025-01-20T00:00:00"/>
    <x v="2"/>
    <n v="8"/>
    <s v="TX"/>
    <d v="2025-01-24T00:00:00"/>
    <d v="2025-01-13T00:00:00"/>
    <s v=""/>
    <x v="0"/>
    <n v="1"/>
    <n v="0"/>
    <n v="4"/>
    <s v=""/>
    <s v=""/>
    <n v="0"/>
  </r>
  <r>
    <s v="C0075"/>
    <s v="R003"/>
    <x v="0"/>
    <x v="0"/>
    <d v="2025-01-06T00:00:00"/>
    <x v="2"/>
    <n v="4"/>
    <s v="FL"/>
    <d v="2025-01-21T00:00:00"/>
    <d v="2025-01-22T00:00:00"/>
    <d v="2025-01-14T00:00:00"/>
    <x v="0"/>
    <n v="1"/>
    <n v="1"/>
    <n v="15"/>
    <n v="1"/>
    <s v=""/>
    <n v="1"/>
  </r>
  <r>
    <s v="C0076"/>
    <s v="R003"/>
    <x v="0"/>
    <x v="1"/>
    <d v="2025-01-13T00:00:00"/>
    <x v="3"/>
    <n v="10"/>
    <s v="CA"/>
    <d v="2025-01-15T00:00:00"/>
    <s v=""/>
    <d v="2025-01-11T00:00:00"/>
    <x v="0"/>
    <n v="0"/>
    <n v="1"/>
    <n v="2"/>
    <s v=""/>
    <s v=""/>
    <n v="1"/>
  </r>
  <r>
    <s v="C0077"/>
    <s v="R008"/>
    <x v="2"/>
    <x v="2"/>
    <d v="2025-01-04T00:00:00"/>
    <x v="2"/>
    <n v="5"/>
    <s v="NY"/>
    <s v=""/>
    <s v=""/>
    <s v=""/>
    <x v="1"/>
    <n v="0"/>
    <n v="0"/>
    <s v=""/>
    <s v=""/>
    <s v=""/>
    <n v="0"/>
  </r>
  <r>
    <s v="C0078"/>
    <s v="R001"/>
    <x v="0"/>
    <x v="2"/>
    <d v="2025-01-19T00:00:00"/>
    <x v="5"/>
    <n v="10"/>
    <s v="NY"/>
    <s v=""/>
    <d v="2025-01-20T00:00:00"/>
    <s v=""/>
    <x v="1"/>
    <n v="1"/>
    <n v="0"/>
    <s v=""/>
    <s v=""/>
    <s v=""/>
    <n v="0"/>
  </r>
  <r>
    <s v="C0079"/>
    <s v="R005"/>
    <x v="1"/>
    <x v="2"/>
    <d v="2025-01-20T00:00:00"/>
    <x v="3"/>
    <n v="5"/>
    <s v="TX"/>
    <s v=""/>
    <s v=""/>
    <s v=""/>
    <x v="1"/>
    <n v="0"/>
    <n v="0"/>
    <s v=""/>
    <s v=""/>
    <s v=""/>
    <n v="0"/>
  </r>
  <r>
    <s v="C0080"/>
    <s v="R002"/>
    <x v="2"/>
    <x v="4"/>
    <d v="2025-01-17T00:00:00"/>
    <x v="0"/>
    <n v="2"/>
    <s v="NY"/>
    <d v="2025-01-27T00:00:00"/>
    <d v="2025-01-28T00:00:00"/>
    <d v="2025-01-25T00:00:00"/>
    <x v="0"/>
    <n v="1"/>
    <n v="1"/>
    <n v="10"/>
    <n v="1"/>
    <s v=""/>
    <n v="1"/>
  </r>
  <r>
    <s v="C0081"/>
    <s v="R003"/>
    <x v="2"/>
    <x v="3"/>
    <d v="2025-01-17T00:00:00"/>
    <x v="0"/>
    <n v="1"/>
    <s v="TX"/>
    <s v=""/>
    <d v="2025-01-22T00:00:00"/>
    <d v="2025-01-25T00:00:00"/>
    <x v="1"/>
    <n v="1"/>
    <n v="1"/>
    <s v=""/>
    <s v=""/>
    <s v=""/>
    <n v="0"/>
  </r>
  <r>
    <s v="C0082"/>
    <s v="R009"/>
    <x v="3"/>
    <x v="1"/>
    <d v="2025-01-11T00:00:00"/>
    <x v="4"/>
    <n v="8"/>
    <s v="FL"/>
    <d v="2025-01-14T00:00:00"/>
    <d v="2025-01-09T00:00:00"/>
    <s v=""/>
    <x v="0"/>
    <n v="1"/>
    <n v="0"/>
    <n v="3"/>
    <s v=""/>
    <s v=""/>
    <n v="0"/>
  </r>
  <r>
    <s v="C0083"/>
    <s v="R007"/>
    <x v="3"/>
    <x v="3"/>
    <d v="2025-01-14T00:00:00"/>
    <x v="3"/>
    <n v="10"/>
    <s v="NY"/>
    <s v=""/>
    <d v="2025-01-21T00:00:00"/>
    <d v="2025-01-20T00:00:00"/>
    <x v="1"/>
    <n v="1"/>
    <n v="1"/>
    <s v=""/>
    <s v=""/>
    <s v=""/>
    <n v="0"/>
  </r>
  <r>
    <s v="C0084"/>
    <s v="R004"/>
    <x v="3"/>
    <x v="0"/>
    <d v="2025-01-18T00:00:00"/>
    <x v="1"/>
    <n v="3"/>
    <s v="CA"/>
    <d v="2025-01-19T00:00:00"/>
    <d v="2025-01-16T00:00:00"/>
    <d v="2025-01-18T00:00:00"/>
    <x v="0"/>
    <n v="1"/>
    <n v="1"/>
    <n v="1"/>
    <s v=""/>
    <s v=""/>
    <n v="1"/>
  </r>
  <r>
    <s v="C0085"/>
    <s v="R004"/>
    <x v="3"/>
    <x v="4"/>
    <d v="2025-01-08T00:00:00"/>
    <x v="2"/>
    <n v="2"/>
    <s v="CA"/>
    <s v=""/>
    <s v=""/>
    <d v="2025-01-19T00:00:00"/>
    <x v="1"/>
    <n v="0"/>
    <n v="1"/>
    <s v=""/>
    <s v=""/>
    <s v=""/>
    <n v="0"/>
  </r>
  <r>
    <s v="C0086"/>
    <s v="R009"/>
    <x v="2"/>
    <x v="3"/>
    <d v="2025-01-16T00:00:00"/>
    <x v="5"/>
    <n v="10"/>
    <s v="NY"/>
    <s v=""/>
    <d v="2025-01-15T00:00:00"/>
    <s v=""/>
    <x v="1"/>
    <n v="1"/>
    <n v="0"/>
    <s v=""/>
    <s v=""/>
    <s v=""/>
    <n v="0"/>
  </r>
  <r>
    <s v="C0087"/>
    <s v="R009"/>
    <x v="3"/>
    <x v="0"/>
    <d v="2025-01-06T00:00:00"/>
    <x v="4"/>
    <n v="4"/>
    <s v="NY"/>
    <d v="2025-01-23T00:00:00"/>
    <s v=""/>
    <d v="2025-01-29T00:00:00"/>
    <x v="0"/>
    <n v="0"/>
    <n v="1"/>
    <n v="17"/>
    <s v=""/>
    <n v="6"/>
    <n v="0"/>
  </r>
  <r>
    <s v="C0088"/>
    <s v="R004"/>
    <x v="0"/>
    <x v="4"/>
    <d v="2025-01-13T00:00:00"/>
    <x v="3"/>
    <n v="2"/>
    <s v="TX"/>
    <d v="2025-01-25T00:00:00"/>
    <s v=""/>
    <d v="2025-01-27T00:00:00"/>
    <x v="0"/>
    <n v="0"/>
    <n v="1"/>
    <n v="12"/>
    <s v=""/>
    <n v="2"/>
    <n v="0"/>
  </r>
  <r>
    <s v="C0089"/>
    <s v="R008"/>
    <x v="0"/>
    <x v="3"/>
    <d v="2025-01-09T00:00:00"/>
    <x v="1"/>
    <n v="7"/>
    <s v="CA"/>
    <d v="2025-01-21T00:00:00"/>
    <d v="2025-01-27T00:00:00"/>
    <s v=""/>
    <x v="0"/>
    <n v="1"/>
    <n v="0"/>
    <n v="12"/>
    <n v="6"/>
    <s v=""/>
    <n v="0"/>
  </r>
  <r>
    <s v="C0090"/>
    <s v="R003"/>
    <x v="2"/>
    <x v="1"/>
    <d v="2025-01-12T00:00:00"/>
    <x v="1"/>
    <n v="9"/>
    <s v="FL"/>
    <s v=""/>
    <d v="2025-01-12T00:00:00"/>
    <d v="2025-01-24T00:00:00"/>
    <x v="1"/>
    <n v="1"/>
    <n v="1"/>
    <s v=""/>
    <s v=""/>
    <s v=""/>
    <n v="0"/>
  </r>
  <r>
    <s v="C0091"/>
    <s v="R006"/>
    <x v="1"/>
    <x v="4"/>
    <d v="2025-01-06T00:00:00"/>
    <x v="2"/>
    <n v="4"/>
    <s v="CA"/>
    <d v="2025-01-27T00:00:00"/>
    <s v=""/>
    <s v=""/>
    <x v="0"/>
    <n v="0"/>
    <n v="0"/>
    <n v="21"/>
    <s v=""/>
    <s v=""/>
    <n v="0"/>
  </r>
  <r>
    <s v="C0092"/>
    <s v="R003"/>
    <x v="2"/>
    <x v="1"/>
    <d v="2025-01-18T00:00:00"/>
    <x v="1"/>
    <n v="1"/>
    <s v="CA"/>
    <s v=""/>
    <s v=""/>
    <d v="2025-01-11T00:00:00"/>
    <x v="1"/>
    <n v="0"/>
    <n v="1"/>
    <s v=""/>
    <s v=""/>
    <s v=""/>
    <n v="0"/>
  </r>
  <r>
    <s v="C0093"/>
    <s v="R007"/>
    <x v="3"/>
    <x v="0"/>
    <d v="2025-01-11T00:00:00"/>
    <x v="3"/>
    <n v="4"/>
    <s v="FL"/>
    <s v=""/>
    <d v="2025-01-12T00:00:00"/>
    <s v=""/>
    <x v="1"/>
    <n v="1"/>
    <n v="0"/>
    <s v=""/>
    <s v=""/>
    <s v=""/>
    <n v="0"/>
  </r>
  <r>
    <s v="C0094"/>
    <s v="R002"/>
    <x v="2"/>
    <x v="1"/>
    <d v="2025-01-11T00:00:00"/>
    <x v="4"/>
    <n v="10"/>
    <s v="TX"/>
    <s v=""/>
    <s v=""/>
    <s v=""/>
    <x v="1"/>
    <n v="0"/>
    <n v="0"/>
    <s v=""/>
    <s v=""/>
    <s v=""/>
    <n v="0"/>
  </r>
  <r>
    <s v="C0095"/>
    <s v="R007"/>
    <x v="3"/>
    <x v="4"/>
    <d v="2025-01-09T00:00:00"/>
    <x v="4"/>
    <n v="8"/>
    <s v="TX"/>
    <s v=""/>
    <d v="2025-01-21T00:00:00"/>
    <s v=""/>
    <x v="1"/>
    <n v="1"/>
    <n v="0"/>
    <s v=""/>
    <s v=""/>
    <s v=""/>
    <n v="0"/>
  </r>
  <r>
    <s v="C0096"/>
    <s v="R004"/>
    <x v="1"/>
    <x v="3"/>
    <d v="2025-01-04T00:00:00"/>
    <x v="4"/>
    <n v="1"/>
    <s v="CA"/>
    <s v=""/>
    <s v=""/>
    <s v=""/>
    <x v="1"/>
    <n v="0"/>
    <n v="0"/>
    <s v=""/>
    <s v=""/>
    <s v=""/>
    <n v="0"/>
  </r>
  <r>
    <s v="C0097"/>
    <s v="R008"/>
    <x v="0"/>
    <x v="0"/>
    <d v="2025-01-19T00:00:00"/>
    <x v="1"/>
    <n v="3"/>
    <s v="CA"/>
    <d v="2025-01-16T00:00:00"/>
    <s v=""/>
    <s v=""/>
    <x v="0"/>
    <n v="0"/>
    <n v="0"/>
    <s v=""/>
    <s v=""/>
    <s v=""/>
    <n v="0"/>
  </r>
  <r>
    <s v="C0098"/>
    <s v="R007"/>
    <x v="1"/>
    <x v="2"/>
    <d v="2025-01-10T00:00:00"/>
    <x v="3"/>
    <n v="4"/>
    <s v="CA"/>
    <s v=""/>
    <d v="2025-01-18T00:00:00"/>
    <d v="2025-01-14T00:00:00"/>
    <x v="1"/>
    <n v="1"/>
    <n v="1"/>
    <s v=""/>
    <s v=""/>
    <s v=""/>
    <n v="0"/>
  </r>
  <r>
    <s v="C0099"/>
    <s v="R007"/>
    <x v="1"/>
    <x v="3"/>
    <d v="2025-01-15T00:00:00"/>
    <x v="5"/>
    <n v="6"/>
    <s v="NY"/>
    <s v=""/>
    <s v=""/>
    <d v="2025-01-25T00:00:00"/>
    <x v="1"/>
    <n v="0"/>
    <n v="1"/>
    <s v=""/>
    <s v=""/>
    <s v=""/>
    <n v="0"/>
  </r>
  <r>
    <s v="C0100"/>
    <s v="R007"/>
    <x v="3"/>
    <x v="1"/>
    <d v="2025-01-06T00:00:00"/>
    <x v="3"/>
    <n v="10"/>
    <s v="TX"/>
    <s v=""/>
    <s v=""/>
    <s v=""/>
    <x v="1"/>
    <n v="0"/>
    <n v="0"/>
    <s v=""/>
    <s v=""/>
    <s v=""/>
    <n v="0"/>
  </r>
  <r>
    <s v="C0101"/>
    <s v="R005"/>
    <x v="3"/>
    <x v="1"/>
    <d v="2025-01-03T00:00:00"/>
    <x v="5"/>
    <n v="3"/>
    <s v="TX"/>
    <s v=""/>
    <d v="2025-01-27T00:00:00"/>
    <s v=""/>
    <x v="1"/>
    <n v="1"/>
    <n v="0"/>
    <s v=""/>
    <s v=""/>
    <s v=""/>
    <n v="0"/>
  </r>
  <r>
    <s v="C0102"/>
    <s v="R003"/>
    <x v="0"/>
    <x v="1"/>
    <d v="2025-01-12T00:00:00"/>
    <x v="3"/>
    <n v="2"/>
    <s v="FL"/>
    <s v=""/>
    <s v=""/>
    <s v=""/>
    <x v="1"/>
    <n v="0"/>
    <n v="0"/>
    <s v=""/>
    <s v=""/>
    <s v=""/>
    <n v="0"/>
  </r>
  <r>
    <s v="C0103"/>
    <s v="R004"/>
    <x v="1"/>
    <x v="4"/>
    <d v="2025-01-07T00:00:00"/>
    <x v="1"/>
    <n v="4"/>
    <s v="TX"/>
    <s v=""/>
    <d v="2025-01-25T00:00:00"/>
    <d v="2025-01-20T00:00:00"/>
    <x v="1"/>
    <n v="1"/>
    <n v="1"/>
    <s v=""/>
    <s v=""/>
    <s v=""/>
    <n v="0"/>
  </r>
  <r>
    <s v="C0104"/>
    <s v="R003"/>
    <x v="0"/>
    <x v="4"/>
    <d v="2025-01-07T00:00:00"/>
    <x v="4"/>
    <n v="7"/>
    <s v="FL"/>
    <s v=""/>
    <s v=""/>
    <d v="2025-01-26T00:00:00"/>
    <x v="1"/>
    <n v="0"/>
    <n v="1"/>
    <s v=""/>
    <s v=""/>
    <s v=""/>
    <n v="0"/>
  </r>
  <r>
    <s v="C0105"/>
    <s v="R010"/>
    <x v="1"/>
    <x v="4"/>
    <d v="2025-01-01T00:00:00"/>
    <x v="5"/>
    <n v="9"/>
    <s v="CA"/>
    <s v=""/>
    <d v="2025-01-09T00:00:00"/>
    <s v=""/>
    <x v="1"/>
    <n v="1"/>
    <n v="0"/>
    <s v=""/>
    <s v=""/>
    <s v=""/>
    <n v="0"/>
  </r>
  <r>
    <s v="C0106"/>
    <s v="R006"/>
    <x v="1"/>
    <x v="4"/>
    <d v="2025-01-19T00:00:00"/>
    <x v="0"/>
    <n v="1"/>
    <s v="TX"/>
    <s v=""/>
    <d v="2025-01-19T00:00:00"/>
    <s v=""/>
    <x v="1"/>
    <n v="1"/>
    <n v="0"/>
    <s v=""/>
    <s v=""/>
    <s v=""/>
    <n v="0"/>
  </r>
  <r>
    <s v="C0107"/>
    <s v="R003"/>
    <x v="2"/>
    <x v="1"/>
    <d v="2025-01-19T00:00:00"/>
    <x v="5"/>
    <n v="4"/>
    <s v="TX"/>
    <s v=""/>
    <s v=""/>
    <s v=""/>
    <x v="1"/>
    <n v="0"/>
    <n v="0"/>
    <s v=""/>
    <s v=""/>
    <s v=""/>
    <n v="0"/>
  </r>
  <r>
    <s v="C0108"/>
    <s v="R004"/>
    <x v="0"/>
    <x v="0"/>
    <d v="2025-01-02T00:00:00"/>
    <x v="4"/>
    <n v="7"/>
    <s v="FL"/>
    <d v="2025-01-26T00:00:00"/>
    <s v=""/>
    <s v=""/>
    <x v="0"/>
    <n v="0"/>
    <n v="0"/>
    <n v="24"/>
    <s v=""/>
    <s v=""/>
    <n v="0"/>
  </r>
  <r>
    <s v="C0109"/>
    <s v="R007"/>
    <x v="1"/>
    <x v="0"/>
    <d v="2025-01-10T00:00:00"/>
    <x v="4"/>
    <n v="1"/>
    <s v="FL"/>
    <s v=""/>
    <s v=""/>
    <s v=""/>
    <x v="1"/>
    <n v="0"/>
    <n v="0"/>
    <s v=""/>
    <s v=""/>
    <s v=""/>
    <n v="0"/>
  </r>
  <r>
    <s v="C0110"/>
    <s v="R007"/>
    <x v="1"/>
    <x v="2"/>
    <d v="2025-01-11T00:00:00"/>
    <x v="4"/>
    <n v="1"/>
    <s v="CA"/>
    <d v="2025-01-10T00:00:00"/>
    <s v=""/>
    <d v="2025-01-16T00:00:00"/>
    <x v="0"/>
    <n v="0"/>
    <n v="1"/>
    <s v=""/>
    <s v=""/>
    <n v="6"/>
    <n v="0"/>
  </r>
  <r>
    <s v="C0111"/>
    <s v="R010"/>
    <x v="0"/>
    <x v="2"/>
    <d v="2025-01-18T00:00:00"/>
    <x v="1"/>
    <n v="5"/>
    <s v="FL"/>
    <d v="2025-01-10T00:00:00"/>
    <d v="2025-01-14T00:00:00"/>
    <d v="2025-01-16T00:00:00"/>
    <x v="0"/>
    <n v="1"/>
    <n v="1"/>
    <s v=""/>
    <n v="4"/>
    <n v="6"/>
    <n v="0"/>
  </r>
  <r>
    <s v="C0112"/>
    <s v="R009"/>
    <x v="0"/>
    <x v="4"/>
    <d v="2025-01-12T00:00:00"/>
    <x v="0"/>
    <n v="2"/>
    <s v="CA"/>
    <d v="2025-01-23T00:00:00"/>
    <s v=""/>
    <d v="2025-01-22T00:00:00"/>
    <x v="0"/>
    <n v="0"/>
    <n v="1"/>
    <n v="11"/>
    <s v=""/>
    <s v=""/>
    <n v="1"/>
  </r>
  <r>
    <s v="C0113"/>
    <s v="R005"/>
    <x v="0"/>
    <x v="0"/>
    <d v="2025-01-04T00:00:00"/>
    <x v="0"/>
    <n v="5"/>
    <s v="FL"/>
    <s v=""/>
    <s v=""/>
    <s v=""/>
    <x v="1"/>
    <n v="0"/>
    <n v="0"/>
    <s v=""/>
    <s v=""/>
    <s v=""/>
    <n v="0"/>
  </r>
  <r>
    <s v="C0114"/>
    <s v="R009"/>
    <x v="2"/>
    <x v="3"/>
    <d v="2025-01-01T00:00:00"/>
    <x v="0"/>
    <n v="4"/>
    <s v="FL"/>
    <d v="2025-01-29T00:00:00"/>
    <s v=""/>
    <s v=""/>
    <x v="0"/>
    <n v="0"/>
    <n v="0"/>
    <n v="28"/>
    <s v=""/>
    <s v=""/>
    <n v="0"/>
  </r>
  <r>
    <s v="C0115"/>
    <s v="R002"/>
    <x v="2"/>
    <x v="4"/>
    <d v="2025-01-08T00:00:00"/>
    <x v="5"/>
    <n v="7"/>
    <s v="NY"/>
    <d v="2025-01-28T00:00:00"/>
    <d v="2025-01-29T00:00:00"/>
    <s v=""/>
    <x v="0"/>
    <n v="1"/>
    <n v="0"/>
    <n v="20"/>
    <n v="1"/>
    <s v=""/>
    <n v="0"/>
  </r>
  <r>
    <s v="C0116"/>
    <s v="R005"/>
    <x v="3"/>
    <x v="4"/>
    <d v="2025-01-03T00:00:00"/>
    <x v="0"/>
    <n v="10"/>
    <s v="NY"/>
    <s v=""/>
    <s v=""/>
    <d v="2025-01-12T00:00:00"/>
    <x v="1"/>
    <n v="0"/>
    <n v="1"/>
    <s v=""/>
    <s v=""/>
    <s v=""/>
    <n v="0"/>
  </r>
  <r>
    <s v="C0117"/>
    <s v="R009"/>
    <x v="3"/>
    <x v="4"/>
    <d v="2025-01-17T00:00:00"/>
    <x v="1"/>
    <n v="7"/>
    <s v="NY"/>
    <s v=""/>
    <s v=""/>
    <s v=""/>
    <x v="1"/>
    <n v="0"/>
    <n v="0"/>
    <s v=""/>
    <s v=""/>
    <s v=""/>
    <n v="0"/>
  </r>
  <r>
    <s v="C0118"/>
    <s v="R006"/>
    <x v="1"/>
    <x v="0"/>
    <d v="2025-01-08T00:00:00"/>
    <x v="4"/>
    <n v="9"/>
    <s v="FL"/>
    <d v="2025-01-18T00:00:00"/>
    <s v=""/>
    <s v=""/>
    <x v="0"/>
    <n v="0"/>
    <n v="0"/>
    <n v="10"/>
    <s v=""/>
    <s v=""/>
    <n v="0"/>
  </r>
  <r>
    <s v="C0119"/>
    <s v="R001"/>
    <x v="2"/>
    <x v="4"/>
    <d v="2025-01-09T00:00:00"/>
    <x v="3"/>
    <n v="9"/>
    <s v="CA"/>
    <d v="2025-01-10T00:00:00"/>
    <s v=""/>
    <s v=""/>
    <x v="0"/>
    <n v="0"/>
    <n v="0"/>
    <n v="1"/>
    <s v=""/>
    <s v=""/>
    <n v="0"/>
  </r>
  <r>
    <s v="C0120"/>
    <s v="R004"/>
    <x v="1"/>
    <x v="3"/>
    <d v="2025-01-04T00:00:00"/>
    <x v="0"/>
    <n v="6"/>
    <s v="CA"/>
    <d v="2025-01-18T00:00:00"/>
    <d v="2025-01-14T00:00:00"/>
    <s v=""/>
    <x v="0"/>
    <n v="1"/>
    <n v="0"/>
    <n v="14"/>
    <s v=""/>
    <s v=""/>
    <n v="0"/>
  </r>
  <r>
    <s v="C0121"/>
    <s v="R003"/>
    <x v="1"/>
    <x v="2"/>
    <d v="2025-01-01T00:00:00"/>
    <x v="3"/>
    <n v="6"/>
    <s v="NY"/>
    <s v=""/>
    <d v="2025-01-16T00:00:00"/>
    <d v="2025-01-06T00:00:00"/>
    <x v="1"/>
    <n v="1"/>
    <n v="1"/>
    <s v=""/>
    <s v=""/>
    <s v=""/>
    <n v="0"/>
  </r>
  <r>
    <s v="C0122"/>
    <s v="R008"/>
    <x v="3"/>
    <x v="4"/>
    <d v="2025-01-03T00:00:00"/>
    <x v="4"/>
    <n v="8"/>
    <s v="CA"/>
    <d v="2025-01-25T00:00:00"/>
    <s v=""/>
    <s v=""/>
    <x v="0"/>
    <n v="0"/>
    <n v="0"/>
    <n v="22"/>
    <s v=""/>
    <s v=""/>
    <n v="0"/>
  </r>
  <r>
    <s v="C0123"/>
    <s v="R001"/>
    <x v="1"/>
    <x v="3"/>
    <d v="2025-01-11T00:00:00"/>
    <x v="4"/>
    <n v="7"/>
    <s v="CA"/>
    <s v=""/>
    <d v="2025-01-23T00:00:00"/>
    <d v="2025-01-16T00:00:00"/>
    <x v="1"/>
    <n v="1"/>
    <n v="1"/>
    <s v=""/>
    <s v=""/>
    <s v=""/>
    <n v="0"/>
  </r>
  <r>
    <s v="C0124"/>
    <s v="R001"/>
    <x v="3"/>
    <x v="2"/>
    <d v="2025-01-05T00:00:00"/>
    <x v="4"/>
    <n v="10"/>
    <s v="NY"/>
    <s v=""/>
    <d v="2025-01-17T00:00:00"/>
    <d v="2025-01-20T00:00:00"/>
    <x v="1"/>
    <n v="1"/>
    <n v="1"/>
    <s v=""/>
    <s v=""/>
    <s v=""/>
    <n v="0"/>
  </r>
  <r>
    <s v="C0125"/>
    <s v="R005"/>
    <x v="3"/>
    <x v="1"/>
    <d v="2025-01-03T00:00:00"/>
    <x v="3"/>
    <n v="4"/>
    <s v="FL"/>
    <s v=""/>
    <d v="2025-01-22T00:00:00"/>
    <d v="2025-01-26T00:00:00"/>
    <x v="1"/>
    <n v="1"/>
    <n v="1"/>
    <s v=""/>
    <s v=""/>
    <s v=""/>
    <n v="0"/>
  </r>
  <r>
    <s v="C0126"/>
    <s v="R009"/>
    <x v="1"/>
    <x v="4"/>
    <d v="2025-01-08T00:00:00"/>
    <x v="3"/>
    <n v="8"/>
    <s v="CA"/>
    <d v="2025-01-22T00:00:00"/>
    <d v="2025-01-27T00:00:00"/>
    <d v="2025-01-27T00:00:00"/>
    <x v="0"/>
    <n v="1"/>
    <n v="1"/>
    <n v="14"/>
    <n v="5"/>
    <n v="5"/>
    <n v="0"/>
  </r>
  <r>
    <s v="C0127"/>
    <s v="R006"/>
    <x v="2"/>
    <x v="3"/>
    <d v="2025-01-15T00:00:00"/>
    <x v="0"/>
    <n v="7"/>
    <s v="NY"/>
    <s v=""/>
    <d v="2025-01-08T00:00:00"/>
    <d v="2025-01-15T00:00:00"/>
    <x v="1"/>
    <n v="1"/>
    <n v="1"/>
    <s v=""/>
    <s v=""/>
    <s v=""/>
    <n v="0"/>
  </r>
  <r>
    <s v="C0128"/>
    <s v="R010"/>
    <x v="2"/>
    <x v="2"/>
    <d v="2025-01-12T00:00:00"/>
    <x v="4"/>
    <n v="1"/>
    <s v="TX"/>
    <s v=""/>
    <s v=""/>
    <s v=""/>
    <x v="1"/>
    <n v="0"/>
    <n v="0"/>
    <s v=""/>
    <s v=""/>
    <s v=""/>
    <n v="0"/>
  </r>
  <r>
    <s v="C0129"/>
    <s v="R002"/>
    <x v="2"/>
    <x v="3"/>
    <d v="2025-01-17T00:00:00"/>
    <x v="3"/>
    <n v="5"/>
    <s v="TX"/>
    <s v=""/>
    <d v="2025-01-10T00:00:00"/>
    <s v=""/>
    <x v="1"/>
    <n v="1"/>
    <n v="0"/>
    <s v=""/>
    <s v=""/>
    <s v=""/>
    <n v="0"/>
  </r>
  <r>
    <s v="C0130"/>
    <s v="R005"/>
    <x v="3"/>
    <x v="0"/>
    <d v="2025-01-16T00:00:00"/>
    <x v="2"/>
    <n v="10"/>
    <s v="FL"/>
    <d v="2025-01-13T00:00:00"/>
    <d v="2025-01-15T00:00:00"/>
    <s v=""/>
    <x v="0"/>
    <n v="1"/>
    <n v="0"/>
    <s v=""/>
    <n v="2"/>
    <s v=""/>
    <n v="0"/>
  </r>
  <r>
    <s v="C0131"/>
    <s v="R002"/>
    <x v="0"/>
    <x v="0"/>
    <d v="2025-01-07T00:00:00"/>
    <x v="1"/>
    <n v="9"/>
    <s v="CA"/>
    <s v=""/>
    <s v=""/>
    <s v=""/>
    <x v="1"/>
    <n v="0"/>
    <n v="0"/>
    <s v=""/>
    <s v=""/>
    <s v=""/>
    <n v="0"/>
  </r>
  <r>
    <s v="C0132"/>
    <s v="R010"/>
    <x v="2"/>
    <x v="1"/>
    <d v="2025-01-07T00:00:00"/>
    <x v="0"/>
    <n v="6"/>
    <s v="NY"/>
    <s v=""/>
    <s v=""/>
    <s v=""/>
    <x v="1"/>
    <n v="0"/>
    <n v="0"/>
    <s v=""/>
    <s v=""/>
    <s v=""/>
    <n v="0"/>
  </r>
  <r>
    <s v="C0133"/>
    <s v="R009"/>
    <x v="3"/>
    <x v="3"/>
    <d v="2025-01-14T00:00:00"/>
    <x v="5"/>
    <n v="9"/>
    <s v="CA"/>
    <d v="2025-01-25T00:00:00"/>
    <d v="2025-01-20T00:00:00"/>
    <s v=""/>
    <x v="0"/>
    <n v="1"/>
    <n v="0"/>
    <n v="11"/>
    <s v=""/>
    <s v=""/>
    <n v="0"/>
  </r>
  <r>
    <s v="C0134"/>
    <s v="R010"/>
    <x v="3"/>
    <x v="4"/>
    <d v="2025-01-07T00:00:00"/>
    <x v="2"/>
    <n v="7"/>
    <s v="NY"/>
    <s v=""/>
    <d v="2025-01-13T00:00:00"/>
    <d v="2025-01-09T00:00:00"/>
    <x v="1"/>
    <n v="1"/>
    <n v="1"/>
    <s v=""/>
    <s v=""/>
    <s v=""/>
    <n v="0"/>
  </r>
  <r>
    <s v="C0135"/>
    <s v="R003"/>
    <x v="2"/>
    <x v="3"/>
    <d v="2025-01-05T00:00:00"/>
    <x v="2"/>
    <n v="9"/>
    <s v="CA"/>
    <d v="2025-01-27T00:00:00"/>
    <s v=""/>
    <s v=""/>
    <x v="0"/>
    <n v="0"/>
    <n v="0"/>
    <n v="22"/>
    <s v=""/>
    <s v=""/>
    <n v="0"/>
  </r>
  <r>
    <s v="C0136"/>
    <s v="R003"/>
    <x v="1"/>
    <x v="2"/>
    <d v="2025-01-19T00:00:00"/>
    <x v="1"/>
    <n v="2"/>
    <s v="TX"/>
    <d v="2025-01-20T00:00:00"/>
    <s v=""/>
    <d v="2025-01-24T00:00:00"/>
    <x v="0"/>
    <n v="0"/>
    <n v="1"/>
    <n v="1"/>
    <s v=""/>
    <n v="4"/>
    <n v="0"/>
  </r>
  <r>
    <s v="C0137"/>
    <s v="R002"/>
    <x v="2"/>
    <x v="2"/>
    <d v="2025-01-19T00:00:00"/>
    <x v="0"/>
    <n v="8"/>
    <s v="TX"/>
    <d v="2025-01-24T00:00:00"/>
    <s v=""/>
    <s v=""/>
    <x v="0"/>
    <n v="0"/>
    <n v="0"/>
    <n v="5"/>
    <s v=""/>
    <s v=""/>
    <n v="0"/>
  </r>
  <r>
    <s v="C0138"/>
    <s v="R010"/>
    <x v="3"/>
    <x v="1"/>
    <d v="2025-01-20T00:00:00"/>
    <x v="3"/>
    <n v="10"/>
    <s v="TX"/>
    <s v=""/>
    <s v=""/>
    <d v="2025-01-21T00:00:00"/>
    <x v="1"/>
    <n v="0"/>
    <n v="1"/>
    <s v=""/>
    <s v=""/>
    <s v=""/>
    <n v="0"/>
  </r>
  <r>
    <s v="C0139"/>
    <s v="R007"/>
    <x v="3"/>
    <x v="1"/>
    <d v="2025-01-15T00:00:00"/>
    <x v="5"/>
    <n v="4"/>
    <s v="FL"/>
    <d v="2025-01-16T00:00:00"/>
    <s v=""/>
    <s v=""/>
    <x v="0"/>
    <n v="0"/>
    <n v="0"/>
    <n v="1"/>
    <s v=""/>
    <s v=""/>
    <n v="0"/>
  </r>
  <r>
    <s v="C0140"/>
    <s v="R006"/>
    <x v="2"/>
    <x v="4"/>
    <d v="2025-01-10T00:00:00"/>
    <x v="3"/>
    <n v="7"/>
    <s v="FL"/>
    <d v="2025-01-28T00:00:00"/>
    <d v="2025-01-29T00:00:00"/>
    <s v=""/>
    <x v="0"/>
    <n v="1"/>
    <n v="0"/>
    <n v="18"/>
    <n v="1"/>
    <s v=""/>
    <n v="0"/>
  </r>
  <r>
    <s v="C0141"/>
    <s v="R007"/>
    <x v="3"/>
    <x v="3"/>
    <d v="2025-01-12T00:00:00"/>
    <x v="4"/>
    <n v="8"/>
    <s v="FL"/>
    <s v=""/>
    <d v="2025-01-13T00:00:00"/>
    <s v=""/>
    <x v="1"/>
    <n v="1"/>
    <n v="0"/>
    <s v=""/>
    <s v=""/>
    <s v=""/>
    <n v="0"/>
  </r>
  <r>
    <s v="C0142"/>
    <s v="R001"/>
    <x v="0"/>
    <x v="3"/>
    <d v="2025-01-15T00:00:00"/>
    <x v="2"/>
    <n v="1"/>
    <s v="FL"/>
    <s v=""/>
    <s v=""/>
    <d v="2025-02-03T00:00:00"/>
    <x v="1"/>
    <n v="0"/>
    <n v="1"/>
    <s v=""/>
    <s v=""/>
    <s v=""/>
    <n v="0"/>
  </r>
  <r>
    <s v="C0143"/>
    <s v="R005"/>
    <x v="3"/>
    <x v="2"/>
    <d v="2025-01-09T00:00:00"/>
    <x v="3"/>
    <n v="3"/>
    <s v="FL"/>
    <d v="2025-01-14T00:00:00"/>
    <s v=""/>
    <d v="2025-01-17T00:00:00"/>
    <x v="0"/>
    <n v="0"/>
    <n v="1"/>
    <n v="5"/>
    <s v=""/>
    <n v="3"/>
    <n v="0"/>
  </r>
  <r>
    <s v="C0144"/>
    <s v="R007"/>
    <x v="0"/>
    <x v="0"/>
    <d v="2025-01-12T00:00:00"/>
    <x v="4"/>
    <n v="5"/>
    <s v="CA"/>
    <d v="2025-01-27T00:00:00"/>
    <s v=""/>
    <s v=""/>
    <x v="0"/>
    <n v="0"/>
    <n v="0"/>
    <n v="15"/>
    <s v=""/>
    <s v=""/>
    <n v="0"/>
  </r>
  <r>
    <s v="C0145"/>
    <s v="R001"/>
    <x v="0"/>
    <x v="3"/>
    <d v="2025-01-02T00:00:00"/>
    <x v="3"/>
    <n v="9"/>
    <s v="TX"/>
    <s v=""/>
    <s v=""/>
    <d v="2025-01-18T00:00:00"/>
    <x v="1"/>
    <n v="0"/>
    <n v="1"/>
    <s v=""/>
    <s v=""/>
    <s v=""/>
    <n v="0"/>
  </r>
  <r>
    <s v="C0146"/>
    <s v="R005"/>
    <x v="0"/>
    <x v="3"/>
    <d v="2025-01-03T00:00:00"/>
    <x v="0"/>
    <n v="7"/>
    <s v="FL"/>
    <d v="2025-01-20T00:00:00"/>
    <d v="2025-01-21T00:00:00"/>
    <d v="2025-01-18T00:00:00"/>
    <x v="0"/>
    <n v="1"/>
    <n v="1"/>
    <n v="17"/>
    <n v="1"/>
    <s v=""/>
    <n v="1"/>
  </r>
  <r>
    <s v="C0147"/>
    <s v="R006"/>
    <x v="3"/>
    <x v="4"/>
    <d v="2025-01-03T00:00:00"/>
    <x v="3"/>
    <n v="9"/>
    <s v="CA"/>
    <s v=""/>
    <d v="2025-01-29T00:00:00"/>
    <s v=""/>
    <x v="1"/>
    <n v="1"/>
    <n v="0"/>
    <s v=""/>
    <s v=""/>
    <s v=""/>
    <n v="0"/>
  </r>
  <r>
    <s v="C0148"/>
    <s v="R007"/>
    <x v="2"/>
    <x v="2"/>
    <d v="2025-01-09T00:00:00"/>
    <x v="0"/>
    <n v="7"/>
    <s v="FL"/>
    <d v="2025-01-20T00:00:00"/>
    <d v="2025-01-23T00:00:00"/>
    <s v=""/>
    <x v="0"/>
    <n v="1"/>
    <n v="0"/>
    <n v="11"/>
    <n v="3"/>
    <s v=""/>
    <n v="0"/>
  </r>
  <r>
    <s v="C0149"/>
    <s v="R008"/>
    <x v="0"/>
    <x v="1"/>
    <d v="2025-01-19T00:00:00"/>
    <x v="5"/>
    <n v="5"/>
    <s v="CA"/>
    <d v="2025-01-13T00:00:00"/>
    <s v=""/>
    <s v=""/>
    <x v="0"/>
    <n v="0"/>
    <n v="0"/>
    <s v=""/>
    <s v=""/>
    <s v=""/>
    <n v="0"/>
  </r>
  <r>
    <s v="C0150"/>
    <s v="R007"/>
    <x v="1"/>
    <x v="3"/>
    <d v="2025-01-17T00:00:00"/>
    <x v="1"/>
    <n v="6"/>
    <s v="NY"/>
    <d v="2025-01-05T00:00:00"/>
    <s v=""/>
    <s v=""/>
    <x v="0"/>
    <n v="0"/>
    <n v="0"/>
    <s v=""/>
    <s v=""/>
    <s v=""/>
    <n v="0"/>
  </r>
  <r>
    <s v="C0151"/>
    <s v="R005"/>
    <x v="2"/>
    <x v="2"/>
    <d v="2025-01-12T00:00:00"/>
    <x v="3"/>
    <n v="9"/>
    <s v="TX"/>
    <s v=""/>
    <s v=""/>
    <d v="2025-01-26T00:00:00"/>
    <x v="1"/>
    <n v="0"/>
    <n v="1"/>
    <s v=""/>
    <s v=""/>
    <s v=""/>
    <n v="0"/>
  </r>
  <r>
    <s v="C0152"/>
    <s v="R005"/>
    <x v="1"/>
    <x v="3"/>
    <d v="2025-01-18T00:00:00"/>
    <x v="3"/>
    <n v="6"/>
    <s v="CA"/>
    <s v=""/>
    <s v=""/>
    <s v=""/>
    <x v="1"/>
    <n v="0"/>
    <n v="0"/>
    <s v=""/>
    <s v=""/>
    <s v=""/>
    <n v="0"/>
  </r>
  <r>
    <s v="C0153"/>
    <s v="R003"/>
    <x v="2"/>
    <x v="4"/>
    <d v="2025-01-03T00:00:00"/>
    <x v="5"/>
    <n v="9"/>
    <s v="TX"/>
    <s v=""/>
    <d v="2025-01-10T00:00:00"/>
    <d v="2025-01-15T00:00:00"/>
    <x v="1"/>
    <n v="1"/>
    <n v="1"/>
    <s v=""/>
    <s v=""/>
    <s v=""/>
    <n v="0"/>
  </r>
  <r>
    <s v="C0154"/>
    <s v="R001"/>
    <x v="1"/>
    <x v="2"/>
    <d v="2025-01-09T00:00:00"/>
    <x v="4"/>
    <n v="1"/>
    <s v="FL"/>
    <s v=""/>
    <s v=""/>
    <s v=""/>
    <x v="1"/>
    <n v="0"/>
    <n v="0"/>
    <s v=""/>
    <s v=""/>
    <s v=""/>
    <n v="0"/>
  </r>
  <r>
    <s v="C0155"/>
    <s v="R008"/>
    <x v="0"/>
    <x v="0"/>
    <d v="2025-01-14T00:00:00"/>
    <x v="1"/>
    <n v="6"/>
    <s v="FL"/>
    <d v="2025-01-18T00:00:00"/>
    <s v=""/>
    <d v="2025-01-16T00:00:00"/>
    <x v="0"/>
    <n v="0"/>
    <n v="1"/>
    <n v="4"/>
    <s v=""/>
    <s v=""/>
    <n v="1"/>
  </r>
  <r>
    <s v="C0156"/>
    <s v="R002"/>
    <x v="0"/>
    <x v="2"/>
    <d v="2025-01-03T00:00:00"/>
    <x v="2"/>
    <n v="5"/>
    <s v="NY"/>
    <d v="2025-01-21T00:00:00"/>
    <d v="2025-01-29T00:00:00"/>
    <d v="2025-01-30T00:00:00"/>
    <x v="0"/>
    <n v="1"/>
    <n v="1"/>
    <n v="18"/>
    <n v="8"/>
    <n v="9"/>
    <n v="0"/>
  </r>
  <r>
    <s v="C0157"/>
    <s v="R005"/>
    <x v="3"/>
    <x v="0"/>
    <d v="2025-01-07T00:00:00"/>
    <x v="3"/>
    <n v="7"/>
    <s v="CA"/>
    <s v=""/>
    <s v=""/>
    <d v="2025-01-28T00:00:00"/>
    <x v="1"/>
    <n v="0"/>
    <n v="1"/>
    <s v=""/>
    <s v=""/>
    <s v=""/>
    <n v="0"/>
  </r>
  <r>
    <s v="C0158"/>
    <s v="R004"/>
    <x v="0"/>
    <x v="1"/>
    <d v="2025-01-13T00:00:00"/>
    <x v="4"/>
    <n v="3"/>
    <s v="NY"/>
    <s v=""/>
    <d v="2025-01-29T00:00:00"/>
    <s v=""/>
    <x v="1"/>
    <n v="1"/>
    <n v="0"/>
    <s v=""/>
    <s v=""/>
    <s v=""/>
    <n v="0"/>
  </r>
  <r>
    <s v="C0159"/>
    <s v="R003"/>
    <x v="3"/>
    <x v="1"/>
    <d v="2025-01-18T00:00:00"/>
    <x v="5"/>
    <n v="1"/>
    <s v="CA"/>
    <s v=""/>
    <d v="2025-01-22T00:00:00"/>
    <s v=""/>
    <x v="1"/>
    <n v="1"/>
    <n v="0"/>
    <s v=""/>
    <s v=""/>
    <s v=""/>
    <n v="0"/>
  </r>
  <r>
    <s v="C0160"/>
    <s v="R006"/>
    <x v="0"/>
    <x v="2"/>
    <d v="2025-01-13T00:00:00"/>
    <x v="2"/>
    <n v="6"/>
    <s v="NY"/>
    <s v=""/>
    <s v=""/>
    <s v=""/>
    <x v="1"/>
    <n v="0"/>
    <n v="0"/>
    <s v=""/>
    <s v=""/>
    <s v=""/>
    <n v="0"/>
  </r>
  <r>
    <s v="C0161"/>
    <s v="R007"/>
    <x v="0"/>
    <x v="0"/>
    <d v="2025-01-17T00:00:00"/>
    <x v="0"/>
    <n v="8"/>
    <s v="CA"/>
    <d v="2025-01-21T00:00:00"/>
    <d v="2025-01-16T00:00:00"/>
    <s v=""/>
    <x v="0"/>
    <n v="1"/>
    <n v="0"/>
    <n v="4"/>
    <s v=""/>
    <s v=""/>
    <n v="0"/>
  </r>
  <r>
    <s v="C0162"/>
    <s v="R007"/>
    <x v="0"/>
    <x v="0"/>
    <d v="2025-01-15T00:00:00"/>
    <x v="3"/>
    <n v="2"/>
    <s v="TX"/>
    <d v="2025-01-25T00:00:00"/>
    <s v=""/>
    <d v="2025-02-02T00:00:00"/>
    <x v="0"/>
    <n v="0"/>
    <n v="1"/>
    <n v="10"/>
    <s v=""/>
    <n v="8"/>
    <n v="0"/>
  </r>
  <r>
    <s v="C0163"/>
    <s v="R003"/>
    <x v="1"/>
    <x v="3"/>
    <d v="2025-01-02T00:00:00"/>
    <x v="4"/>
    <n v="4"/>
    <s v="FL"/>
    <d v="2025-01-23T00:00:00"/>
    <d v="2025-01-18T00:00:00"/>
    <s v=""/>
    <x v="0"/>
    <n v="1"/>
    <n v="0"/>
    <n v="21"/>
    <s v=""/>
    <s v=""/>
    <n v="0"/>
  </r>
  <r>
    <s v="C0164"/>
    <s v="R007"/>
    <x v="1"/>
    <x v="3"/>
    <d v="2025-01-12T00:00:00"/>
    <x v="5"/>
    <n v="5"/>
    <s v="TX"/>
    <d v="2025-01-16T00:00:00"/>
    <s v=""/>
    <s v=""/>
    <x v="0"/>
    <n v="0"/>
    <n v="0"/>
    <n v="4"/>
    <s v=""/>
    <s v=""/>
    <n v="0"/>
  </r>
  <r>
    <s v="C0165"/>
    <s v="R004"/>
    <x v="0"/>
    <x v="2"/>
    <d v="2025-01-16T00:00:00"/>
    <x v="0"/>
    <n v="5"/>
    <s v="CA"/>
    <d v="2025-01-11T00:00:00"/>
    <d v="2025-01-05T00:00:00"/>
    <s v=""/>
    <x v="0"/>
    <n v="1"/>
    <n v="0"/>
    <s v=""/>
    <s v=""/>
    <s v=""/>
    <n v="0"/>
  </r>
  <r>
    <s v="C0166"/>
    <s v="R003"/>
    <x v="0"/>
    <x v="0"/>
    <d v="2025-01-08T00:00:00"/>
    <x v="4"/>
    <n v="5"/>
    <s v="TX"/>
    <d v="2025-01-20T00:00:00"/>
    <d v="2025-01-17T00:00:00"/>
    <s v=""/>
    <x v="0"/>
    <n v="1"/>
    <n v="0"/>
    <n v="12"/>
    <s v=""/>
    <s v=""/>
    <n v="0"/>
  </r>
  <r>
    <s v="C0167"/>
    <s v="R006"/>
    <x v="3"/>
    <x v="1"/>
    <d v="2025-01-08T00:00:00"/>
    <x v="3"/>
    <n v="7"/>
    <s v="TX"/>
    <s v=""/>
    <d v="2025-01-29T00:00:00"/>
    <s v=""/>
    <x v="1"/>
    <n v="1"/>
    <n v="0"/>
    <s v=""/>
    <s v=""/>
    <s v=""/>
    <n v="0"/>
  </r>
  <r>
    <s v="C0168"/>
    <s v="R005"/>
    <x v="2"/>
    <x v="4"/>
    <d v="2025-01-04T00:00:00"/>
    <x v="0"/>
    <n v="6"/>
    <s v="TX"/>
    <d v="2025-02-02T00:00:00"/>
    <d v="2025-01-24T00:00:00"/>
    <s v=""/>
    <x v="0"/>
    <n v="1"/>
    <n v="0"/>
    <n v="29"/>
    <s v=""/>
    <s v=""/>
    <n v="0"/>
  </r>
  <r>
    <s v="C0169"/>
    <s v="R006"/>
    <x v="1"/>
    <x v="4"/>
    <d v="2025-01-06T00:00:00"/>
    <x v="3"/>
    <n v="8"/>
    <s v="CA"/>
    <d v="2025-01-23T00:00:00"/>
    <s v=""/>
    <s v=""/>
    <x v="0"/>
    <n v="0"/>
    <n v="0"/>
    <n v="17"/>
    <s v=""/>
    <s v=""/>
    <n v="0"/>
  </r>
  <r>
    <s v="C0170"/>
    <s v="R004"/>
    <x v="1"/>
    <x v="4"/>
    <d v="2025-01-19T00:00:00"/>
    <x v="4"/>
    <n v="6"/>
    <s v="CA"/>
    <s v=""/>
    <s v=""/>
    <s v=""/>
    <x v="1"/>
    <n v="0"/>
    <n v="0"/>
    <s v=""/>
    <s v=""/>
    <s v=""/>
    <n v="0"/>
  </r>
  <r>
    <s v="C0171"/>
    <s v="R006"/>
    <x v="0"/>
    <x v="1"/>
    <d v="2025-01-17T00:00:00"/>
    <x v="2"/>
    <n v="7"/>
    <s v="NY"/>
    <d v="2025-01-08T00:00:00"/>
    <s v=""/>
    <d v="2025-01-12T00:00:00"/>
    <x v="0"/>
    <n v="0"/>
    <n v="1"/>
    <s v=""/>
    <s v=""/>
    <n v="4"/>
    <n v="0"/>
  </r>
  <r>
    <s v="C0172"/>
    <s v="R003"/>
    <x v="1"/>
    <x v="3"/>
    <d v="2025-01-15T00:00:00"/>
    <x v="3"/>
    <n v="3"/>
    <s v="FL"/>
    <s v=""/>
    <s v=""/>
    <s v=""/>
    <x v="1"/>
    <n v="0"/>
    <n v="0"/>
    <s v=""/>
    <s v=""/>
    <s v=""/>
    <n v="0"/>
  </r>
  <r>
    <s v="C0173"/>
    <s v="R003"/>
    <x v="2"/>
    <x v="0"/>
    <d v="2025-01-04T00:00:00"/>
    <x v="3"/>
    <n v="8"/>
    <s v="CA"/>
    <s v=""/>
    <s v=""/>
    <s v=""/>
    <x v="1"/>
    <n v="0"/>
    <n v="0"/>
    <s v=""/>
    <s v=""/>
    <s v=""/>
    <n v="0"/>
  </r>
  <r>
    <s v="C0174"/>
    <s v="R004"/>
    <x v="0"/>
    <x v="4"/>
    <d v="2025-01-05T00:00:00"/>
    <x v="5"/>
    <n v="8"/>
    <s v="NY"/>
    <s v=""/>
    <s v=""/>
    <s v=""/>
    <x v="1"/>
    <n v="0"/>
    <n v="0"/>
    <s v=""/>
    <s v=""/>
    <s v=""/>
    <n v="0"/>
  </r>
  <r>
    <s v="C0175"/>
    <s v="R010"/>
    <x v="0"/>
    <x v="3"/>
    <d v="2025-01-03T00:00:00"/>
    <x v="1"/>
    <n v="8"/>
    <s v="CA"/>
    <d v="2025-01-22T00:00:00"/>
    <s v=""/>
    <s v=""/>
    <x v="0"/>
    <n v="0"/>
    <n v="0"/>
    <n v="19"/>
    <s v=""/>
    <s v=""/>
    <n v="0"/>
  </r>
  <r>
    <s v="C0176"/>
    <s v="R002"/>
    <x v="1"/>
    <x v="1"/>
    <d v="2025-01-04T00:00:00"/>
    <x v="0"/>
    <n v="5"/>
    <s v="FL"/>
    <s v=""/>
    <d v="2025-01-08T00:00:00"/>
    <d v="2025-01-11T00:00:00"/>
    <x v="1"/>
    <n v="1"/>
    <n v="1"/>
    <s v=""/>
    <s v=""/>
    <s v=""/>
    <n v="0"/>
  </r>
  <r>
    <s v="C0177"/>
    <s v="R008"/>
    <x v="2"/>
    <x v="0"/>
    <d v="2025-01-14T00:00:00"/>
    <x v="2"/>
    <n v="9"/>
    <s v="NY"/>
    <s v=""/>
    <s v=""/>
    <s v=""/>
    <x v="1"/>
    <n v="0"/>
    <n v="0"/>
    <s v=""/>
    <s v=""/>
    <s v=""/>
    <n v="0"/>
  </r>
  <r>
    <s v="C0178"/>
    <s v="R004"/>
    <x v="2"/>
    <x v="1"/>
    <d v="2025-01-17T00:00:00"/>
    <x v="2"/>
    <n v="6"/>
    <s v="TX"/>
    <s v=""/>
    <s v=""/>
    <d v="2025-01-18T00:00:00"/>
    <x v="1"/>
    <n v="0"/>
    <n v="1"/>
    <s v=""/>
    <s v=""/>
    <s v=""/>
    <n v="0"/>
  </r>
  <r>
    <s v="C0179"/>
    <s v="R009"/>
    <x v="1"/>
    <x v="4"/>
    <d v="2025-01-07T00:00:00"/>
    <x v="2"/>
    <n v="3"/>
    <s v="FL"/>
    <d v="2025-01-17T00:00:00"/>
    <d v="2025-01-20T00:00:00"/>
    <s v=""/>
    <x v="0"/>
    <n v="1"/>
    <n v="0"/>
    <n v="10"/>
    <n v="3"/>
    <s v=""/>
    <n v="0"/>
  </r>
  <r>
    <s v="C0180"/>
    <s v="R010"/>
    <x v="1"/>
    <x v="4"/>
    <d v="2025-01-15T00:00:00"/>
    <x v="1"/>
    <n v="4"/>
    <s v="NY"/>
    <s v=""/>
    <d v="2025-01-19T00:00:00"/>
    <d v="2025-01-21T00:00:00"/>
    <x v="1"/>
    <n v="1"/>
    <n v="1"/>
    <s v=""/>
    <s v=""/>
    <s v=""/>
    <n v="0"/>
  </r>
  <r>
    <s v="C0181"/>
    <s v="R003"/>
    <x v="2"/>
    <x v="3"/>
    <d v="2025-01-13T00:00:00"/>
    <x v="1"/>
    <n v="3"/>
    <s v="TX"/>
    <d v="2025-01-20T00:00:00"/>
    <s v=""/>
    <d v="2025-01-14T00:00:00"/>
    <x v="0"/>
    <n v="0"/>
    <n v="1"/>
    <n v="7"/>
    <s v=""/>
    <s v=""/>
    <n v="1"/>
  </r>
  <r>
    <s v="C0182"/>
    <s v="R002"/>
    <x v="3"/>
    <x v="2"/>
    <d v="2025-01-09T00:00:00"/>
    <x v="2"/>
    <n v="7"/>
    <s v="NY"/>
    <d v="2025-01-23T00:00:00"/>
    <d v="2025-01-26T00:00:00"/>
    <d v="2025-01-24T00:00:00"/>
    <x v="0"/>
    <n v="1"/>
    <n v="1"/>
    <n v="14"/>
    <n v="3"/>
    <n v="1"/>
    <n v="0"/>
  </r>
  <r>
    <s v="C0183"/>
    <s v="R004"/>
    <x v="1"/>
    <x v="0"/>
    <d v="2025-01-03T00:00:00"/>
    <x v="2"/>
    <n v="7"/>
    <s v="TX"/>
    <s v=""/>
    <d v="2025-01-12T00:00:00"/>
    <d v="2025-01-17T00:00:00"/>
    <x v="1"/>
    <n v="1"/>
    <n v="1"/>
    <s v=""/>
    <s v=""/>
    <s v=""/>
    <n v="0"/>
  </r>
  <r>
    <s v="C0184"/>
    <s v="R004"/>
    <x v="0"/>
    <x v="2"/>
    <d v="2025-01-11T00:00:00"/>
    <x v="1"/>
    <n v="2"/>
    <s v="TX"/>
    <s v=""/>
    <d v="2025-01-18T00:00:00"/>
    <d v="2025-01-25T00:00:00"/>
    <x v="1"/>
    <n v="1"/>
    <n v="1"/>
    <s v=""/>
    <s v=""/>
    <s v=""/>
    <n v="0"/>
  </r>
  <r>
    <s v="C0185"/>
    <s v="R010"/>
    <x v="2"/>
    <x v="2"/>
    <d v="2025-01-12T00:00:00"/>
    <x v="1"/>
    <n v="9"/>
    <s v="NY"/>
    <d v="2025-01-09T00:00:00"/>
    <s v=""/>
    <s v=""/>
    <x v="0"/>
    <n v="0"/>
    <n v="0"/>
    <s v=""/>
    <s v=""/>
    <s v=""/>
    <n v="0"/>
  </r>
  <r>
    <s v="C0186"/>
    <s v="R007"/>
    <x v="2"/>
    <x v="4"/>
    <d v="2025-01-09T00:00:00"/>
    <x v="2"/>
    <n v="2"/>
    <s v="FL"/>
    <d v="2025-01-27T00:00:00"/>
    <s v=""/>
    <d v="2025-01-29T00:00:00"/>
    <x v="0"/>
    <n v="0"/>
    <n v="1"/>
    <n v="18"/>
    <s v=""/>
    <n v="2"/>
    <n v="0"/>
  </r>
  <r>
    <s v="C0187"/>
    <s v="R004"/>
    <x v="1"/>
    <x v="3"/>
    <d v="2025-01-15T00:00:00"/>
    <x v="3"/>
    <n v="9"/>
    <s v="TX"/>
    <s v=""/>
    <d v="2025-01-14T00:00:00"/>
    <d v="2025-01-04T00:00:00"/>
    <x v="1"/>
    <n v="1"/>
    <n v="1"/>
    <s v=""/>
    <s v=""/>
    <s v=""/>
    <n v="0"/>
  </r>
  <r>
    <s v="C0188"/>
    <s v="R006"/>
    <x v="1"/>
    <x v="1"/>
    <d v="2025-01-12T00:00:00"/>
    <x v="1"/>
    <n v="3"/>
    <s v="CA"/>
    <s v=""/>
    <d v="2025-01-13T00:00:00"/>
    <s v=""/>
    <x v="1"/>
    <n v="1"/>
    <n v="0"/>
    <s v=""/>
    <s v=""/>
    <s v=""/>
    <n v="0"/>
  </r>
  <r>
    <s v="C0189"/>
    <s v="R009"/>
    <x v="1"/>
    <x v="4"/>
    <d v="2025-01-14T00:00:00"/>
    <x v="0"/>
    <n v="9"/>
    <s v="TX"/>
    <d v="2025-01-30T00:00:00"/>
    <s v=""/>
    <d v="2025-01-19T00:00:00"/>
    <x v="0"/>
    <n v="0"/>
    <n v="1"/>
    <n v="16"/>
    <s v=""/>
    <s v=""/>
    <n v="1"/>
  </r>
  <r>
    <s v="C0190"/>
    <s v="R006"/>
    <x v="3"/>
    <x v="2"/>
    <d v="2025-01-13T00:00:00"/>
    <x v="5"/>
    <n v="10"/>
    <s v="NY"/>
    <s v=""/>
    <d v="2025-01-03T00:00:00"/>
    <d v="2025-01-11T00:00:00"/>
    <x v="1"/>
    <n v="1"/>
    <n v="1"/>
    <s v=""/>
    <s v=""/>
    <s v=""/>
    <n v="0"/>
  </r>
  <r>
    <s v="C0191"/>
    <s v="R010"/>
    <x v="3"/>
    <x v="3"/>
    <d v="2025-01-11T00:00:00"/>
    <x v="2"/>
    <n v="4"/>
    <s v="FL"/>
    <s v=""/>
    <s v=""/>
    <s v=""/>
    <x v="1"/>
    <n v="0"/>
    <n v="0"/>
    <s v=""/>
    <s v=""/>
    <s v=""/>
    <n v="0"/>
  </r>
  <r>
    <s v="C0192"/>
    <s v="R009"/>
    <x v="0"/>
    <x v="0"/>
    <d v="2025-01-12T00:00:00"/>
    <x v="5"/>
    <n v="6"/>
    <s v="CA"/>
    <d v="2025-01-21T00:00:00"/>
    <d v="2025-01-18T00:00:00"/>
    <s v=""/>
    <x v="0"/>
    <n v="1"/>
    <n v="0"/>
    <n v="9"/>
    <s v=""/>
    <s v=""/>
    <n v="0"/>
  </r>
  <r>
    <s v="C0193"/>
    <s v="R004"/>
    <x v="0"/>
    <x v="3"/>
    <d v="2025-01-20T00:00:00"/>
    <x v="5"/>
    <n v="1"/>
    <s v="FL"/>
    <s v=""/>
    <d v="2025-01-14T00:00:00"/>
    <d v="2025-01-14T00:00:00"/>
    <x v="1"/>
    <n v="1"/>
    <n v="1"/>
    <s v=""/>
    <s v=""/>
    <s v=""/>
    <n v="0"/>
  </r>
  <r>
    <s v="C0194"/>
    <s v="R005"/>
    <x v="0"/>
    <x v="4"/>
    <d v="2025-01-06T00:00:00"/>
    <x v="3"/>
    <n v="6"/>
    <s v="NY"/>
    <d v="2025-01-09T00:00:00"/>
    <d v="2025-01-07T00:00:00"/>
    <d v="2025-01-04T00:00:00"/>
    <x v="0"/>
    <n v="1"/>
    <n v="1"/>
    <n v="3"/>
    <s v=""/>
    <s v=""/>
    <n v="1"/>
  </r>
  <r>
    <s v="C0195"/>
    <s v="R004"/>
    <x v="2"/>
    <x v="3"/>
    <d v="2025-01-03T00:00:00"/>
    <x v="1"/>
    <n v="3"/>
    <s v="FL"/>
    <d v="2025-01-21T00:00:00"/>
    <d v="2025-01-12T00:00:00"/>
    <s v=""/>
    <x v="0"/>
    <n v="1"/>
    <n v="0"/>
    <n v="18"/>
    <s v=""/>
    <s v=""/>
    <n v="0"/>
  </r>
  <r>
    <s v="C0196"/>
    <s v="R008"/>
    <x v="1"/>
    <x v="4"/>
    <d v="2025-01-01T00:00:00"/>
    <x v="4"/>
    <n v="9"/>
    <s v="NY"/>
    <d v="2025-01-22T00:00:00"/>
    <s v=""/>
    <s v=""/>
    <x v="0"/>
    <n v="0"/>
    <n v="0"/>
    <n v="21"/>
    <s v=""/>
    <s v=""/>
    <n v="0"/>
  </r>
  <r>
    <s v="C0197"/>
    <s v="R001"/>
    <x v="0"/>
    <x v="0"/>
    <d v="2025-01-16T00:00:00"/>
    <x v="1"/>
    <n v="5"/>
    <s v="TX"/>
    <s v=""/>
    <s v=""/>
    <d v="2025-01-22T00:00:00"/>
    <x v="1"/>
    <n v="0"/>
    <n v="1"/>
    <s v=""/>
    <s v=""/>
    <s v=""/>
    <n v="0"/>
  </r>
  <r>
    <s v="C0198"/>
    <s v="R005"/>
    <x v="0"/>
    <x v="3"/>
    <d v="2025-01-01T00:00:00"/>
    <x v="4"/>
    <n v="4"/>
    <s v="NY"/>
    <d v="2025-01-12T00:00:00"/>
    <d v="2025-01-19T00:00:00"/>
    <s v=""/>
    <x v="0"/>
    <n v="1"/>
    <n v="0"/>
    <n v="11"/>
    <n v="7"/>
    <s v=""/>
    <n v="0"/>
  </r>
  <r>
    <s v="C0199"/>
    <s v="R003"/>
    <x v="2"/>
    <x v="2"/>
    <d v="2025-01-03T00:00:00"/>
    <x v="5"/>
    <n v="6"/>
    <s v="CA"/>
    <s v=""/>
    <s v=""/>
    <d v="2025-01-11T00:00:00"/>
    <x v="1"/>
    <n v="0"/>
    <n v="1"/>
    <s v=""/>
    <s v=""/>
    <s v=""/>
    <n v="0"/>
  </r>
  <r>
    <s v="C0200"/>
    <s v="R004"/>
    <x v="3"/>
    <x v="0"/>
    <d v="2025-01-01T00:00:00"/>
    <x v="0"/>
    <n v="8"/>
    <s v="CA"/>
    <d v="2025-01-26T00:00:00"/>
    <d v="2025-02-04T00:00:00"/>
    <s v=""/>
    <x v="0"/>
    <n v="1"/>
    <n v="0"/>
    <n v="25"/>
    <n v="9"/>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CA927-88FD-46EB-BCBE-9CB7996C159A}" name="Recruiter Productivi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cruiter">
  <location ref="B32:E37" firstHeaderRow="0" firstDataRow="1" firstDataCol="1"/>
  <pivotFields count="18">
    <pivotField dataField="1" showAll="0"/>
    <pivotField showAll="0"/>
    <pivotField axis="axisRow" showAll="0">
      <items count="5">
        <item x="2"/>
        <item x="0"/>
        <item x="3"/>
        <item x="1"/>
        <item t="default"/>
      </items>
    </pivotField>
    <pivotField showAll="0"/>
    <pivotField numFmtId="165" showAll="0"/>
    <pivotField showAll="0">
      <items count="7">
        <item x="5"/>
        <item x="1"/>
        <item x="2"/>
        <item x="0"/>
        <item x="3"/>
        <item x="4"/>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s>
  <rowFields count="1">
    <field x="2"/>
  </rowFields>
  <rowItems count="5">
    <i>
      <x/>
    </i>
    <i>
      <x v="1"/>
    </i>
    <i>
      <x v="2"/>
    </i>
    <i>
      <x v="3"/>
    </i>
    <i t="grand">
      <x/>
    </i>
  </rowItems>
  <colFields count="1">
    <field x="-2"/>
  </colFields>
  <colItems count="3">
    <i>
      <x/>
    </i>
    <i i="1">
      <x v="1"/>
    </i>
    <i i="2">
      <x v="2"/>
    </i>
  </colItems>
  <dataFields count="3">
    <dataField name="Total Candidates" fld="0" subtotal="count" baseField="0" baseItem="0"/>
    <dataField name="Total Hires" fld="13" baseField="0" baseItem="0"/>
    <dataField name="Avg Days to Hire" fld="16" subtotal="average" baseField="2" baseItem="1" numFmtId="1"/>
  </dataFields>
  <formats count="4">
    <format dxfId="32">
      <pivotArea collapsedLevelsAreSubtotals="1" fieldPosition="0">
        <references count="2">
          <reference field="4294967294" count="1" selected="0">
            <x v="2"/>
          </reference>
          <reference field="2" count="0"/>
        </references>
      </pivotArea>
    </format>
    <format dxfId="31">
      <pivotArea outline="0" collapsedLevelsAreSubtotals="1" fieldPosition="0">
        <references count="1">
          <reference field="4294967294" count="1" selected="0">
            <x v="2"/>
          </reference>
        </references>
      </pivotArea>
    </format>
    <format dxfId="30">
      <pivotArea field="2" type="button" dataOnly="0" labelOnly="1" outline="0" axis="axisRow" fieldPosition="0"/>
    </format>
    <format dxfId="2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A3C45-F833-42CC-A9A2-B7F93F8395A2}" name="Hiring Funne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D5" firstHeaderRow="0" firstDataRow="1" firstDataCol="0"/>
  <pivotFields count="18">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5">
        <item x="2"/>
        <item x="0"/>
        <item x="3"/>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items count="7">
        <item x="5"/>
        <item x="1"/>
        <item x="2"/>
        <item x="0"/>
        <item x="3"/>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items count="3">
        <item x="1"/>
        <item x="0"/>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Total Submission_Flag" fld="11" baseField="0" baseItem="0"/>
    <dataField name="Total Interview_Flag" fld="12" baseField="0" baseItem="0"/>
    <dataField name="Total Hire_Flag" fld="13" baseField="0" baseItem="0"/>
  </dataFields>
  <formats count="2">
    <format dxfId="34">
      <pivotArea dataOnly="0" labelOnly="1" outline="0" fieldPosition="0">
        <references count="1">
          <reference field="4294967294" count="3">
            <x v="0"/>
            <x v="1"/>
            <x v="2"/>
          </reference>
        </references>
      </pivotArea>
    </format>
    <format dxfId="3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6C577C-A5B4-435B-B5A3-6DD53E639963}" name="Current Status Distribution (Snapsh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rrent_Stage">
  <location ref="B59:C66" firstHeaderRow="1" firstDataRow="1" firstDataCol="1"/>
  <pivotFields count="18">
    <pivotField dataField="1" showAll="0"/>
    <pivotField showAll="0"/>
    <pivotField showAll="0">
      <items count="5">
        <item x="2"/>
        <item x="0"/>
        <item x="3"/>
        <item x="1"/>
        <item t="default"/>
      </items>
    </pivotField>
    <pivotField showAll="0"/>
    <pivotField numFmtId="165" showAll="0"/>
    <pivotField axis="axisRow" showAll="0">
      <items count="7">
        <item x="5"/>
        <item x="1"/>
        <item x="2"/>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Total Candidates" fld="0" subtotal="count" baseField="0" baseItem="0"/>
  </dataFields>
  <formats count="4">
    <format dxfId="38">
      <pivotArea dataOnly="0" labelOnly="1" outline="0" axis="axisValues" fieldPosition="0"/>
    </format>
    <format dxfId="37">
      <pivotArea dataOnly="0" labelOnly="1" outline="0" axis="axisValues" fieldPosition="0"/>
    </format>
    <format dxfId="36">
      <pivotArea field="5" type="button" dataOnly="0" labelOnly="1" outline="0" axis="axisRow" fieldPosition="0"/>
    </format>
    <format dxfId="35">
      <pivotArea field="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40335D-B03A-44D6-80F3-19F5ACE19526}" name="Process Efficienc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cruiter">
  <location ref="B19:E24" firstHeaderRow="0" firstDataRow="1" firstDataCol="1"/>
  <pivotFields count="18">
    <pivotField showAll="0"/>
    <pivotField showAll="0"/>
    <pivotField axis="axisRow" showAll="0">
      <items count="5">
        <item x="2"/>
        <item x="0"/>
        <item x="3"/>
        <item x="1"/>
        <item t="default"/>
      </items>
    </pivotField>
    <pivotField showAll="0">
      <items count="6">
        <item x="1"/>
        <item x="3"/>
        <item x="0"/>
        <item x="2"/>
        <item x="4"/>
        <item t="default"/>
      </items>
    </pivotField>
    <pivotField numFmtId="165" showAll="0"/>
    <pivotField showAll="0">
      <items count="7">
        <item x="5"/>
        <item x="1"/>
        <item x="2"/>
        <item x="0"/>
        <item x="3"/>
        <item x="4"/>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Fields count="1">
    <field x="2"/>
  </rowFields>
  <rowItems count="5">
    <i>
      <x/>
    </i>
    <i>
      <x v="1"/>
    </i>
    <i>
      <x v="2"/>
    </i>
    <i>
      <x v="3"/>
    </i>
    <i t="grand">
      <x/>
    </i>
  </rowItems>
  <colFields count="1">
    <field x="-2"/>
  </colFields>
  <colItems count="3">
    <i>
      <x/>
    </i>
    <i i="1">
      <x v="1"/>
    </i>
    <i i="2">
      <x v="2"/>
    </i>
  </colItems>
  <dataFields count="3">
    <dataField name="Avg  Days to Submit" fld="14" subtotal="average" baseField="3" baseItem="1" numFmtId="1"/>
    <dataField name="Avg Time to Interview" fld="15" subtotal="average" baseField="2" baseItem="0" numFmtId="1"/>
    <dataField name="Avg of Time to Hire" fld="16" subtotal="average" baseField="2" baseItem="0" numFmtId="1"/>
  </dataFields>
  <formats count="4">
    <format dxfId="42">
      <pivotArea outline="0" collapsedLevelsAreSubtotals="1" fieldPosition="0">
        <references count="1">
          <reference field="4294967294" count="1" selected="0">
            <x v="0"/>
          </reference>
        </references>
      </pivotArea>
    </format>
    <format dxfId="41">
      <pivotArea outline="0" collapsedLevelsAreSubtotals="1" fieldPosition="0">
        <references count="1">
          <reference field="4294967294" count="2" selected="0">
            <x v="1"/>
            <x v="2"/>
          </reference>
        </references>
      </pivotArea>
    </format>
    <format dxfId="40">
      <pivotArea field="2" type="button" dataOnly="0" labelOnly="1" outline="0" axis="axisRow" fieldPosition="0"/>
    </format>
    <format dxfId="3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3C4ECA-9EDB-4923-B798-015FF29988CD}" name="Source Quali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ource">
  <location ref="B45:E51" firstHeaderRow="0" firstDataRow="1" firstDataCol="1"/>
  <pivotFields count="18">
    <pivotField dataField="1" showAll="0"/>
    <pivotField showAll="0"/>
    <pivotField showAll="0">
      <items count="5">
        <item h="1" x="2"/>
        <item h="1" x="0"/>
        <item x="3"/>
        <item h="1" x="1"/>
        <item t="default"/>
      </items>
    </pivotField>
    <pivotField axis="axisRow" showAll="0">
      <items count="6">
        <item x="1"/>
        <item x="3"/>
        <item x="0"/>
        <item x="2"/>
        <item x="4"/>
        <item t="default"/>
      </items>
    </pivotField>
    <pivotField numFmtId="165" showAll="0"/>
    <pivotField showAll="0">
      <items count="7">
        <item x="5"/>
        <item x="1"/>
        <item x="2"/>
        <item x="0"/>
        <item x="3"/>
        <item x="4"/>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3"/>
  </rowFields>
  <rowItems count="6">
    <i>
      <x/>
    </i>
    <i>
      <x v="1"/>
    </i>
    <i>
      <x v="2"/>
    </i>
    <i>
      <x v="3"/>
    </i>
    <i>
      <x v="4"/>
    </i>
    <i t="grand">
      <x/>
    </i>
  </rowItems>
  <colFields count="1">
    <field x="-2"/>
  </colFields>
  <colItems count="3">
    <i>
      <x/>
    </i>
    <i i="1">
      <x v="1"/>
    </i>
    <i i="2">
      <x v="2"/>
    </i>
  </colItems>
  <dataFields count="3">
    <dataField name="Total Candidates" fld="0" subtotal="count" baseField="0" baseItem="0"/>
    <dataField name="Total Hires" fld="13" baseField="3" baseItem="0"/>
    <dataField name="Avg  Days to Submit" fld="14" subtotal="average" baseField="3" baseItem="1" numFmtId="1"/>
  </dataFields>
  <formats count="3">
    <format dxfId="45">
      <pivotArea outline="0" collapsedLevelsAreSubtotals="1" fieldPosition="0">
        <references count="1">
          <reference field="4294967294" count="1" selected="0">
            <x v="2"/>
          </reference>
        </references>
      </pivotArea>
    </format>
    <format dxfId="44">
      <pivotArea field="3" type="button" dataOnly="0" labelOnly="1" outline="0" axis="axisRow" fieldPosition="0"/>
    </format>
    <format dxfId="4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AE7FFC-68FE-4FDA-87F5-8B1102613BEA}" name="Time Metrics 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Source">
  <location ref="B46:D51" firstHeaderRow="0" firstDataRow="1" firstDataCol="1"/>
  <pivotFields count="18">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5">
        <item x="2"/>
        <item x="0"/>
        <item x="3"/>
        <item x="1"/>
        <item t="default"/>
      </items>
      <extLst>
        <ext xmlns:x14="http://schemas.microsoft.com/office/spreadsheetml/2009/9/main" uri="{2946ED86-A175-432a-8AC1-64E0C546D7DE}">
          <x14:pivotField fillDownLabels="1"/>
        </ext>
      </extLst>
    </pivotField>
    <pivotField showAll="0">
      <items count="6">
        <item x="1"/>
        <item x="3"/>
        <item x="0"/>
        <item x="2"/>
        <item x="4"/>
        <item t="default"/>
      </items>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items count="7">
        <item x="5"/>
        <item x="1"/>
        <item x="2"/>
        <item x="0"/>
        <item x="3"/>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3">
        <item x="1"/>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2"/>
  </rowFields>
  <rowItems count="5">
    <i>
      <x/>
    </i>
    <i>
      <x v="1"/>
    </i>
    <i>
      <x v="2"/>
    </i>
    <i>
      <x v="3"/>
    </i>
    <i t="grand">
      <x/>
    </i>
  </rowItems>
  <colFields count="1">
    <field x="-2"/>
  </colFields>
  <colItems count="2">
    <i>
      <x/>
    </i>
    <i i="1">
      <x v="1"/>
    </i>
  </colItems>
  <dataFields count="2">
    <dataField name="Avg  Days_To_Submit" fld="14" subtotal="average" baseField="2" baseItem="1"/>
    <dataField name="Avg Time_to_Hire" fld="16" subtotal="average" baseField="2" baseItem="1"/>
  </dataFields>
  <formats count="5">
    <format dxfId="14">
      <pivotArea dataOnly="0" labelOnly="1" outline="0" axis="axisValues" fieldPosition="0"/>
    </format>
    <format dxfId="13">
      <pivotArea field="2" type="button" dataOnly="0" labelOnly="1" outline="0" axis="axisRow" fieldPosition="0"/>
    </format>
    <format dxfId="12">
      <pivotArea field="2" type="button" dataOnly="0" labelOnly="1" outline="0" axis="axisRow" fieldPosition="0"/>
    </format>
    <format dxfId="11">
      <pivotArea dataOnly="0" labelOnly="1" outline="0" axis="axisValues" fieldPosition="0"/>
    </format>
    <format dxfId="10">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3392AA-B1C6-44A5-A1D7-A3C453482D2B}" name="Source Quality Char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Source">
  <location ref="B32:C38" firstHeaderRow="1" firstDataRow="1" firstDataCol="1"/>
  <pivotFields count="18">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5">
        <item x="2"/>
        <item x="0"/>
        <item x="3"/>
        <item x="1"/>
        <item t="default"/>
      </items>
      <extLst>
        <ext xmlns:x14="http://schemas.microsoft.com/office/spreadsheetml/2009/9/main" uri="{2946ED86-A175-432a-8AC1-64E0C546D7DE}">
          <x14:pivotField fillDownLabels="1"/>
        </ext>
      </extLst>
    </pivotField>
    <pivotField axis="axisRow" showAll="0" sortType="ascending">
      <items count="6">
        <item x="1"/>
        <item x="3"/>
        <item x="0"/>
        <item x="2"/>
        <item x="4"/>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items count="7">
        <item x="5"/>
        <item x="1"/>
        <item x="2"/>
        <item x="0"/>
        <item x="3"/>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3">
        <item x="1"/>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3"/>
  </rowFields>
  <rowItems count="6">
    <i>
      <x v="2"/>
    </i>
    <i>
      <x v="4"/>
    </i>
    <i>
      <x v="3"/>
    </i>
    <i>
      <x/>
    </i>
    <i>
      <x v="1"/>
    </i>
    <i t="grand">
      <x/>
    </i>
  </rowItems>
  <colItems count="1">
    <i/>
  </colItems>
  <dataFields count="1">
    <dataField name="Total Hires" fld="13" baseField="2" baseItem="0"/>
  </dataFields>
  <formats count="6">
    <format dxfId="20">
      <pivotArea dataOnly="0" labelOnly="1" outline="0" fieldPosition="0">
        <references count="1">
          <reference field="4294967294" count="1">
            <x v="0"/>
          </reference>
        </references>
      </pivotArea>
    </format>
    <format dxfId="19">
      <pivotArea dataOnly="0" labelOnly="1" outline="0" fieldPosition="0">
        <references count="1">
          <reference field="4294967294" count="1">
            <x v="0"/>
          </reference>
        </references>
      </pivotArea>
    </format>
    <format dxfId="18">
      <pivotArea dataOnly="0" labelOnly="1" outline="0" axis="axisValues" fieldPosition="0"/>
    </format>
    <format dxfId="17">
      <pivotArea field="2" type="button" dataOnly="0" labelOnly="1" outline="0"/>
    </format>
    <format dxfId="16">
      <pivotArea field="2" type="button" dataOnly="0" labelOnly="1" outline="0"/>
    </format>
    <format dxfId="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A34540-6FBF-4A07-B74A-79296C043C36}" name="Recruiter Productivity Char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Recruiter">
  <location ref="B19:C24" firstHeaderRow="1" firstDataRow="1" firstDataCol="1"/>
  <pivotFields count="18">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tems count="6">
        <item x="1"/>
        <item x="3"/>
        <item x="0"/>
        <item x="2"/>
        <item x="4"/>
        <item t="default"/>
      </items>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items count="7">
        <item x="5"/>
        <item x="1"/>
        <item x="2"/>
        <item x="0"/>
        <item x="3"/>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3">
        <item x="1"/>
        <item x="0"/>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2"/>
  </rowFields>
  <rowItems count="5">
    <i>
      <x v="1"/>
    </i>
    <i>
      <x v="2"/>
    </i>
    <i>
      <x v="3"/>
    </i>
    <i>
      <x/>
    </i>
    <i t="grand">
      <x/>
    </i>
  </rowItems>
  <colItems count="1">
    <i/>
  </colItems>
  <dataFields count="1">
    <dataField name="Total Hires" fld="13" baseField="2" baseItem="0"/>
  </dataFields>
  <formats count="6">
    <format dxfId="26">
      <pivotArea dataOnly="0" labelOnly="1" outline="0" fieldPosition="0">
        <references count="1">
          <reference field="4294967294" count="1">
            <x v="0"/>
          </reference>
        </references>
      </pivotArea>
    </format>
    <format dxfId="25">
      <pivotArea dataOnly="0" labelOnly="1" outline="0" fieldPosition="0">
        <references count="1">
          <reference field="4294967294" count="1">
            <x v="0"/>
          </reference>
        </references>
      </pivotArea>
    </format>
    <format dxfId="24">
      <pivotArea dataOnly="0" labelOnly="1" outline="0" axis="axisValues" fieldPosition="0"/>
    </format>
    <format dxfId="23">
      <pivotArea field="2" type="button" dataOnly="0" labelOnly="1" outline="0" axis="axisRow" fieldPosition="0"/>
    </format>
    <format dxfId="22">
      <pivotArea field="2" type="button" dataOnly="0" labelOnly="1" outline="0" axis="axisRow" fieldPosition="0"/>
    </format>
    <format dxfId="2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4FB5C2-C7C2-4E46-A461-DB5C01BCED49}" name="Hiring Funnel Char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D5" firstHeaderRow="0" firstDataRow="1" firstDataCol="0"/>
  <pivotFields count="18">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5">
        <item x="2"/>
        <item x="0"/>
        <item x="3"/>
        <item x="1"/>
        <item t="default"/>
      </items>
      <extLst>
        <ext xmlns:x14="http://schemas.microsoft.com/office/spreadsheetml/2009/9/main" uri="{2946ED86-A175-432a-8AC1-64E0C546D7DE}">
          <x14:pivotField fillDownLabels="1"/>
        </ext>
      </extLst>
    </pivotField>
    <pivotField showAll="0">
      <items count="6">
        <item x="1"/>
        <item x="3"/>
        <item x="0"/>
        <item x="2"/>
        <item x="4"/>
        <item t="default"/>
      </items>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items count="7">
        <item x="5"/>
        <item x="1"/>
        <item x="2"/>
        <item x="0"/>
        <item x="3"/>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items count="3">
        <item x="1"/>
        <item x="0"/>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Total Submission_Flag" fld="11" baseField="0" baseItem="0"/>
    <dataField name="Total Interview_Flag" fld="12" baseField="0" baseItem="0"/>
    <dataField name="Total Hire_Flag" fld="13" baseField="0" baseItem="0"/>
  </dataFields>
  <formats count="2">
    <format dxfId="28">
      <pivotArea dataOnly="0" labelOnly="1" outline="0" fieldPosition="0">
        <references count="1">
          <reference field="4294967294" count="3">
            <x v="0"/>
            <x v="1"/>
            <x v="2"/>
          </reference>
        </references>
      </pivotArea>
    </format>
    <format dxfId="2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594BDDBD-BCA5-42A8-8ECE-0A36BCBB18AD}" sourceName="Recruiter">
  <pivotTables>
    <pivotTable tabId="11" name="Hiring Funnel Chart"/>
    <pivotTable tabId="11" name="Recruiter Productivity Chart"/>
    <pivotTable tabId="11" name="Source Quality Chart"/>
    <pivotTable tabId="11" name="Time Metrics Trend"/>
  </pivotTables>
  <data>
    <tabular pivotCacheId="7324262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2A41981A-ADC8-4BCB-8E73-5290C6D5C34A}" sourceName="Source">
  <pivotTables>
    <pivotTable tabId="11" name="Recruiter Productivity Chart"/>
    <pivotTable tabId="11" name="Hiring Funnel Chart"/>
    <pivotTable tabId="11" name="Source Quality Chart"/>
    <pivotTable tabId="11" name="Time Metrics Trend"/>
  </pivotTables>
  <data>
    <tabular pivotCacheId="73242625">
      <items count="5">
        <i x="1" s="1"/>
        <i x="3"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ruiter" xr10:uid="{724DB37E-7DFB-41C2-A1DC-75F8AFA52E60}" cache="Slicer_Recruiter" caption="Recruiter" rowHeight="241300"/>
  <slicer name="Source" xr10:uid="{CBC06A57-ED5F-4F2F-B8D7-290355157704}" cache="Slicer_Source" caption="Sour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532624-28AD-4ED3-B347-F3A55E54DD29}" name="tblReqs" displayName="tblReqs" ref="A1:F11" totalsRowShown="0">
  <autoFilter ref="A1:F11" xr:uid="{69532624-28AD-4ED3-B347-F3A55E54DD29}"/>
  <tableColumns count="6">
    <tableColumn id="1" xr3:uid="{D7A4DCF9-9DAB-4D15-A1D6-753FA601AA8F}" name="Req_ID"/>
    <tableColumn id="2" xr3:uid="{E1CBF88B-2C18-4D27-A704-20255C972339}" name="Job_Title"/>
    <tableColumn id="3" xr3:uid="{D08BBA96-4D7A-4C38-8B9E-CAB7BD6D93EF}" name="Client"/>
    <tableColumn id="4" xr3:uid="{17933534-C700-479B-B83B-F2790B196CB7}" name="Open_Date" dataDxfId="60"/>
    <tableColumn id="5" xr3:uid="{7FF38B42-FE51-4332-A2EE-89F5367263DC}" name="Close_Date" dataDxfId="59"/>
    <tableColumn id="6" xr3:uid="{AC1FE5A4-1541-437C-A4DB-3252E8C93FEB}" name="Priorit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4893FA-BF99-4E17-886A-55D71C7BF8A6}" name="tblCandidates" displayName="tblCandidates" ref="A1:H201" totalsRowShown="0">
  <autoFilter ref="A1:H201" xr:uid="{E84893FA-BF99-4E17-886A-55D71C7BF8A6}"/>
  <tableColumns count="8">
    <tableColumn id="1" xr3:uid="{0612837C-7B24-4431-BEA0-3E0E8E0CE468}" name="Candidate_ID"/>
    <tableColumn id="2" xr3:uid="{8C58D849-E05E-44C6-B431-2E7663928B93}" name="Req_ID"/>
    <tableColumn id="3" xr3:uid="{6A6F6EB1-E3F7-4225-81BA-6F3DEC071290}" name="Recruiter"/>
    <tableColumn id="4" xr3:uid="{4AFD7F75-9AC8-4B76-AFC9-D8073BE6A876}" name="Source"/>
    <tableColumn id="5" xr3:uid="{375528F3-FB33-4D5A-A511-5A4DF52EB6BA}" name="Resume_Date" dataDxfId="58"/>
    <tableColumn id="6" xr3:uid="{372CC1CD-FA18-4D41-AA94-BAF86BAAEA6D}" name="Current_Stage"/>
    <tableColumn id="7" xr3:uid="{CF106A78-6CBC-42C4-92B1-6F2936A9AA43}" name="Years_Exp"/>
    <tableColumn id="8" xr3:uid="{F9AAF858-DFEB-436A-8CBE-700333E2B954}" name="Loca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333AF2-DFDD-427D-98B1-3C02B63C9213}" name="tblActivities" displayName="tblActivities" ref="A1:E479" totalsRowShown="0">
  <autoFilter ref="A1:E479" xr:uid="{65333AF2-DFDD-427D-98B1-3C02B63C9213}"/>
  <tableColumns count="5">
    <tableColumn id="1" xr3:uid="{BB37D5A4-954B-47E5-B43E-6E8EADDD1BFE}" name="Activity_ID"/>
    <tableColumn id="2" xr3:uid="{70F92DFC-51A7-448C-85F3-997681F5B333}" name="Candidate_ID"/>
    <tableColumn id="3" xr3:uid="{B924F483-C412-4818-AC53-578BDF991829}" name="Recruiter"/>
    <tableColumn id="4" xr3:uid="{B74FF5CD-1E7F-4B49-B5EC-587D0854C231}" name="Activity_Type"/>
    <tableColumn id="5" xr3:uid="{85E8B4E1-6D81-4092-AA72-0C7E1AE30DF7}" name="Activity_Date" dataDxfId="5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72DC7B-BEE8-45E0-9D2E-9B2B80498A6D}" name="Data_Model" displayName="Data_Model" ref="A1:R201" totalsRowShown="0">
  <autoFilter ref="A1:R201" xr:uid="{5372DC7B-BEE8-45E0-9D2E-9B2B80498A6D}"/>
  <tableColumns count="18">
    <tableColumn id="1" xr3:uid="{658E0E1D-7863-46AB-987A-EBF2249F4243}" name="Candidate_ID"/>
    <tableColumn id="2" xr3:uid="{25EAB2EF-CA1A-4BB5-BE0C-501FDF5F287B}" name="Req_ID"/>
    <tableColumn id="3" xr3:uid="{630CB625-FB83-41FC-A9AE-B37BC82CF8AD}" name="Recruiter"/>
    <tableColumn id="4" xr3:uid="{E6B55367-436F-4E78-AB8C-4CD3E93B3759}" name="Source"/>
    <tableColumn id="5" xr3:uid="{73AD6AC4-E09E-4786-A6F3-67584218AF95}" name="Resume_Date" dataDxfId="56"/>
    <tableColumn id="6" xr3:uid="{72A8DF77-AE4B-4727-9DA8-0551F2375789}" name="Current_Stage"/>
    <tableColumn id="7" xr3:uid="{661CB77A-A0B1-4439-B8DF-9B79D6A1FCB0}" name="Years_Exp"/>
    <tableColumn id="8" xr3:uid="{98758E76-CECC-48E2-85B6-08DBA57CFD92}" name="Location"/>
    <tableColumn id="9" xr3:uid="{A052A049-48BE-4EC4-921E-FF8264617604}" name="Submission_Date" dataDxfId="55">
      <calculatedColumnFormula>IFERROR(IF(_xlfn.MINIFS(tblActivities[Activity_Date],tblActivities[Activity_Type],"Resume Submitted",tblActivities[Candidate_ID],Data_Model[[#This Row],[Candidate_ID]])=0,"",_xlfn.MINIFS(tblActivities[Activity_Date],tblActivities[Activity_Type],"Resume Submitted",tblActivities[Candidate_ID],Data_Model[[#This Row],[Candidate_ID]])),"")</calculatedColumnFormula>
    </tableColumn>
    <tableColumn id="22" xr3:uid="{F9B86DC6-87DA-45A2-A7F3-F7B4A44C4799}" name="Interview_Date" dataDxfId="54">
      <calculatedColumnFormula>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calculatedColumnFormula>
    </tableColumn>
    <tableColumn id="23" xr3:uid="{31627A64-7A83-41F1-B7CC-3866AC8F8C90}" name="Hire_Date" dataDxfId="53">
      <calculatedColumnFormula>IFERROR(IF(_xlfn.MINIFS(tblActivities[Activity_Date],tblActivities[Activity_Type],"Hired",tblActivities[Candidate_ID],Data_Model[[#This Row],[Candidate_ID]])=0,"",_xlfn.MINIFS(tblActivities[Activity_Date],tblActivities[Activity_Type],"Hired",tblActivities[Candidate_ID],Data_Model[[#This Row],[Candidate_ID]])),"")</calculatedColumnFormula>
    </tableColumn>
    <tableColumn id="10" xr3:uid="{E40C709E-ECBB-4386-9847-E70777785866}" name="Submission_Flag" dataDxfId="52">
      <calculatedColumnFormula>IF(Data_Model[[#This Row],[Submission_Date]]="",0,1)</calculatedColumnFormula>
    </tableColumn>
    <tableColumn id="11" xr3:uid="{B92194C9-AC23-4E86-87D8-6B677D43DD5B}" name="Interview_Flag" dataDxfId="51">
      <calculatedColumnFormula>IF(Data_Model[[#This Row],[Interview_Date]]="",0,1)</calculatedColumnFormula>
    </tableColumn>
    <tableColumn id="12" xr3:uid="{C8593149-6E48-4F62-BE90-5073770E9CD2}" name="Hire_Flag" dataDxfId="50">
      <calculatedColumnFormula>IF(Data_Model[[#This Row],[Hire_Date]]="",0,1)</calculatedColumnFormula>
    </tableColumn>
    <tableColumn id="24" xr3:uid="{B497DC56-3745-4B3A-B902-D2B82AC1AE8F}" name="Days_To_Submit" dataDxfId="49">
      <calculatedColumnFormula>IF(OR(Data_Model[ [#This Row],[Submission_Date] ]= "",Data_Model[[#This Row],[Resume_Date]] = "",Data_Model[[#This Row],[Submission_Date]] &lt; Data_Model[[#This Row],[Resume_Date]]), "",Data_Model[[#This Row],[Submission_Date]] - Data_Model[[#This Row],[Resume_Date]])</calculatedColumnFormula>
    </tableColumn>
    <tableColumn id="13" xr3:uid="{E9B760A5-AF5E-4E3E-AC68-764612397A60}" name="Time_to_Interview" dataDxfId="48">
      <calculatedColumnFormula>IF(OR(Data_Model[[#This Row],[Submission_Date]]="",Data_Model[[#This Row],[Interview_Date]]="",Data_Model[[#This Row],[Interview_Date]] &lt; Data_Model[[#This Row],[Submission_Date]]),"",Data_Model[[#This Row],[Interview_Date]]-Data_Model[[#This Row],[Submission_Date]])</calculatedColumnFormula>
    </tableColumn>
    <tableColumn id="21" xr3:uid="{6CC418B0-5EA3-4334-B994-06F01FCF32EE}" name="Time_to_Hire" dataDxfId="47">
      <calculatedColumnFormula>IF(OR(Data_Model[[#This Row],[Submission_Date]]="",Data_Model[[#This Row],[Hire_Date]]="",Data_Model[[#This Row],[Hire_Date]] &lt; Data_Model[[#This Row],[Submission_Date]]),"",Data_Model[[#This Row],[Hire_Date]]-Data_Model[[#This Row],[Submission_Date]])</calculatedColumnFormula>
    </tableColumn>
    <tableColumn id="20" xr3:uid="{DD65C373-E446-4C40-AB79-8E99F9359DF5}" name="Invalid_Hire_Flag" dataDxfId="46">
      <calculatedColumnFormula>IF(AND(Data_Model[[#This Row],[Submission_Flag]]=1,Data_Model[[#This Row],[Hire_Flag]]=1,Data_Model[[#This Row],[Hire_Date]]&lt;Data_Model[[#This Row],[Submission_Date]]),1,0)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3.bin"/><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E18" sqref="E18"/>
    </sheetView>
  </sheetViews>
  <sheetFormatPr defaultRowHeight="15" x14ac:dyDescent="0.25"/>
  <cols>
    <col min="1" max="1" width="9.42578125" customWidth="1"/>
    <col min="2" max="2" width="15.85546875" bestFit="1" customWidth="1"/>
    <col min="4" max="5" width="13.140625" customWidth="1"/>
    <col min="6" max="6" width="9.7109375" customWidth="1"/>
  </cols>
  <sheetData>
    <row r="1" spans="1:6" x14ac:dyDescent="0.25">
      <c r="A1" t="s">
        <v>0</v>
      </c>
      <c r="B1" t="s">
        <v>1</v>
      </c>
      <c r="C1" t="s">
        <v>2</v>
      </c>
      <c r="D1" t="s">
        <v>3</v>
      </c>
      <c r="E1" t="s">
        <v>4</v>
      </c>
      <c r="F1" t="s">
        <v>5</v>
      </c>
    </row>
    <row r="2" spans="1:6" x14ac:dyDescent="0.25">
      <c r="A2" t="s">
        <v>6</v>
      </c>
      <c r="B2" t="s">
        <v>7</v>
      </c>
      <c r="C2" t="s">
        <v>8</v>
      </c>
      <c r="D2" s="1">
        <v>45660</v>
      </c>
      <c r="E2" s="1">
        <v>45695</v>
      </c>
      <c r="F2" t="s">
        <v>9</v>
      </c>
    </row>
    <row r="3" spans="1:6" x14ac:dyDescent="0.25">
      <c r="A3" t="s">
        <v>10</v>
      </c>
      <c r="B3" t="s">
        <v>11</v>
      </c>
      <c r="C3" t="s">
        <v>8</v>
      </c>
      <c r="D3" s="1">
        <v>45663</v>
      </c>
      <c r="E3" s="1">
        <v>45689</v>
      </c>
      <c r="F3" t="s">
        <v>12</v>
      </c>
    </row>
    <row r="4" spans="1:6" x14ac:dyDescent="0.25">
      <c r="A4" t="s">
        <v>13</v>
      </c>
      <c r="B4" t="s">
        <v>14</v>
      </c>
      <c r="C4" t="s">
        <v>15</v>
      </c>
      <c r="D4" s="1">
        <v>45664</v>
      </c>
      <c r="E4" s="1">
        <v>45707</v>
      </c>
      <c r="F4" t="s">
        <v>9</v>
      </c>
    </row>
    <row r="5" spans="1:6" x14ac:dyDescent="0.25">
      <c r="A5" t="s">
        <v>16</v>
      </c>
      <c r="B5" t="s">
        <v>11</v>
      </c>
      <c r="C5" t="s">
        <v>8</v>
      </c>
      <c r="D5" s="1">
        <v>45662</v>
      </c>
      <c r="E5" s="1">
        <v>45692</v>
      </c>
      <c r="F5" t="s">
        <v>9</v>
      </c>
    </row>
    <row r="6" spans="1:6" x14ac:dyDescent="0.25">
      <c r="A6" t="s">
        <v>17</v>
      </c>
      <c r="B6" t="s">
        <v>11</v>
      </c>
      <c r="C6" t="s">
        <v>18</v>
      </c>
      <c r="D6" s="1">
        <v>45662</v>
      </c>
      <c r="E6" s="1">
        <v>45701</v>
      </c>
      <c r="F6" t="s">
        <v>12</v>
      </c>
    </row>
    <row r="7" spans="1:6" x14ac:dyDescent="0.25">
      <c r="A7" t="s">
        <v>19</v>
      </c>
      <c r="B7" t="s">
        <v>7</v>
      </c>
      <c r="C7" t="s">
        <v>18</v>
      </c>
      <c r="D7" s="1">
        <v>45662</v>
      </c>
      <c r="E7" s="1">
        <v>45712</v>
      </c>
      <c r="F7" t="s">
        <v>9</v>
      </c>
    </row>
    <row r="8" spans="1:6" x14ac:dyDescent="0.25">
      <c r="A8" t="s">
        <v>20</v>
      </c>
      <c r="B8" t="s">
        <v>14</v>
      </c>
      <c r="C8" t="s">
        <v>8</v>
      </c>
      <c r="D8" s="1">
        <v>45662</v>
      </c>
      <c r="E8" s="1">
        <v>45700</v>
      </c>
      <c r="F8" t="s">
        <v>21</v>
      </c>
    </row>
    <row r="9" spans="1:6" x14ac:dyDescent="0.25">
      <c r="A9" t="s">
        <v>22</v>
      </c>
      <c r="B9" t="s">
        <v>14</v>
      </c>
      <c r="C9" t="s">
        <v>18</v>
      </c>
      <c r="D9" s="1">
        <v>45661</v>
      </c>
      <c r="E9" s="1">
        <v>45705</v>
      </c>
      <c r="F9" t="s">
        <v>21</v>
      </c>
    </row>
    <row r="10" spans="1:6" x14ac:dyDescent="0.25">
      <c r="A10" t="s">
        <v>23</v>
      </c>
      <c r="B10" t="s">
        <v>7</v>
      </c>
      <c r="C10" t="s">
        <v>18</v>
      </c>
      <c r="D10" s="1">
        <v>45658</v>
      </c>
      <c r="E10" s="1">
        <v>45701</v>
      </c>
      <c r="F10" t="s">
        <v>21</v>
      </c>
    </row>
    <row r="11" spans="1:6" x14ac:dyDescent="0.25">
      <c r="A11" t="s">
        <v>24</v>
      </c>
      <c r="B11" t="s">
        <v>11</v>
      </c>
      <c r="C11" t="s">
        <v>18</v>
      </c>
      <c r="D11" s="1">
        <v>45660</v>
      </c>
      <c r="E11" s="1">
        <v>45690</v>
      </c>
      <c r="F11" t="s">
        <v>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workbookViewId="0">
      <selection activeCell="F44" sqref="F44"/>
    </sheetView>
  </sheetViews>
  <sheetFormatPr defaultRowHeight="15" x14ac:dyDescent="0.25"/>
  <cols>
    <col min="1" max="1" width="15" customWidth="1"/>
    <col min="2" max="2" width="9.42578125" customWidth="1"/>
    <col min="3" max="3" width="11.28515625" customWidth="1"/>
    <col min="4" max="4" width="13.42578125" bestFit="1" customWidth="1"/>
    <col min="5" max="5" width="15.42578125" customWidth="1"/>
    <col min="6" max="6" width="15.7109375" customWidth="1"/>
    <col min="7" max="7" width="12.140625" customWidth="1"/>
    <col min="8" max="8" width="10.5703125" customWidth="1"/>
  </cols>
  <sheetData>
    <row r="1" spans="1:8" x14ac:dyDescent="0.25">
      <c r="A1" t="s">
        <v>25</v>
      </c>
      <c r="B1" t="s">
        <v>0</v>
      </c>
      <c r="C1" t="s">
        <v>26</v>
      </c>
      <c r="D1" t="s">
        <v>27</v>
      </c>
      <c r="E1" t="s">
        <v>28</v>
      </c>
      <c r="F1" t="s">
        <v>29</v>
      </c>
      <c r="G1" t="s">
        <v>30</v>
      </c>
      <c r="H1" t="s">
        <v>31</v>
      </c>
    </row>
    <row r="2" spans="1:8" x14ac:dyDescent="0.25">
      <c r="A2" t="s">
        <v>32</v>
      </c>
      <c r="B2" t="s">
        <v>17</v>
      </c>
      <c r="C2" t="s">
        <v>33</v>
      </c>
      <c r="D2" t="s">
        <v>34</v>
      </c>
      <c r="E2" s="1">
        <v>45675</v>
      </c>
      <c r="F2" t="s">
        <v>35</v>
      </c>
      <c r="G2">
        <v>9</v>
      </c>
      <c r="H2" t="s">
        <v>36</v>
      </c>
    </row>
    <row r="3" spans="1:8" x14ac:dyDescent="0.25">
      <c r="A3" t="s">
        <v>37</v>
      </c>
      <c r="B3" t="s">
        <v>6</v>
      </c>
      <c r="C3" t="s">
        <v>38</v>
      </c>
      <c r="D3" t="s">
        <v>39</v>
      </c>
      <c r="E3" s="1">
        <v>45669</v>
      </c>
      <c r="F3" t="s">
        <v>40</v>
      </c>
      <c r="G3">
        <v>9</v>
      </c>
      <c r="H3" t="s">
        <v>36</v>
      </c>
    </row>
    <row r="4" spans="1:8" x14ac:dyDescent="0.25">
      <c r="A4" t="s">
        <v>41</v>
      </c>
      <c r="B4" t="s">
        <v>6</v>
      </c>
      <c r="C4" t="s">
        <v>33</v>
      </c>
      <c r="D4" t="s">
        <v>42</v>
      </c>
      <c r="E4" s="1">
        <v>45671</v>
      </c>
      <c r="F4" t="s">
        <v>43</v>
      </c>
      <c r="G4">
        <v>3</v>
      </c>
      <c r="H4" t="s">
        <v>36</v>
      </c>
    </row>
    <row r="5" spans="1:8" x14ac:dyDescent="0.25">
      <c r="A5" t="s">
        <v>44</v>
      </c>
      <c r="B5" t="s">
        <v>10</v>
      </c>
      <c r="C5" t="s">
        <v>45</v>
      </c>
      <c r="D5" t="s">
        <v>34</v>
      </c>
      <c r="E5" s="1">
        <v>45659</v>
      </c>
      <c r="F5" t="s">
        <v>46</v>
      </c>
      <c r="G5">
        <v>4</v>
      </c>
      <c r="H5" t="s">
        <v>47</v>
      </c>
    </row>
    <row r="6" spans="1:8" x14ac:dyDescent="0.25">
      <c r="A6" t="s">
        <v>48</v>
      </c>
      <c r="B6" t="s">
        <v>19</v>
      </c>
      <c r="C6" t="s">
        <v>49</v>
      </c>
      <c r="D6" t="s">
        <v>50</v>
      </c>
      <c r="E6" s="1">
        <v>45664</v>
      </c>
      <c r="F6" t="s">
        <v>46</v>
      </c>
      <c r="G6">
        <v>7</v>
      </c>
      <c r="H6" t="s">
        <v>47</v>
      </c>
    </row>
    <row r="7" spans="1:8" x14ac:dyDescent="0.25">
      <c r="A7" t="s">
        <v>51</v>
      </c>
      <c r="B7" t="s">
        <v>10</v>
      </c>
      <c r="C7" t="s">
        <v>49</v>
      </c>
      <c r="D7" t="s">
        <v>52</v>
      </c>
      <c r="E7" s="1">
        <v>45665</v>
      </c>
      <c r="F7" t="s">
        <v>35</v>
      </c>
      <c r="G7">
        <v>9</v>
      </c>
      <c r="H7" t="s">
        <v>47</v>
      </c>
    </row>
    <row r="8" spans="1:8" x14ac:dyDescent="0.25">
      <c r="A8" t="s">
        <v>53</v>
      </c>
      <c r="B8" t="s">
        <v>6</v>
      </c>
      <c r="C8" t="s">
        <v>33</v>
      </c>
      <c r="D8" t="s">
        <v>50</v>
      </c>
      <c r="E8" s="1">
        <v>45673</v>
      </c>
      <c r="F8" t="s">
        <v>43</v>
      </c>
      <c r="G8">
        <v>3</v>
      </c>
      <c r="H8" t="s">
        <v>36</v>
      </c>
    </row>
    <row r="9" spans="1:8" x14ac:dyDescent="0.25">
      <c r="A9" t="s">
        <v>54</v>
      </c>
      <c r="B9" t="s">
        <v>22</v>
      </c>
      <c r="C9" t="s">
        <v>38</v>
      </c>
      <c r="D9" t="s">
        <v>50</v>
      </c>
      <c r="E9" s="1">
        <v>45662</v>
      </c>
      <c r="F9" t="s">
        <v>46</v>
      </c>
      <c r="G9">
        <v>4</v>
      </c>
      <c r="H9" t="s">
        <v>36</v>
      </c>
    </row>
    <row r="10" spans="1:8" x14ac:dyDescent="0.25">
      <c r="A10" t="s">
        <v>55</v>
      </c>
      <c r="B10" t="s">
        <v>10</v>
      </c>
      <c r="C10" t="s">
        <v>33</v>
      </c>
      <c r="D10" t="s">
        <v>42</v>
      </c>
      <c r="E10" s="1">
        <v>45661</v>
      </c>
      <c r="F10" t="s">
        <v>40</v>
      </c>
      <c r="G10">
        <v>4</v>
      </c>
      <c r="H10" t="s">
        <v>47</v>
      </c>
    </row>
    <row r="11" spans="1:8" x14ac:dyDescent="0.25">
      <c r="A11" t="s">
        <v>56</v>
      </c>
      <c r="B11" t="s">
        <v>24</v>
      </c>
      <c r="C11" t="s">
        <v>45</v>
      </c>
      <c r="D11" t="s">
        <v>50</v>
      </c>
      <c r="E11" s="1">
        <v>45667</v>
      </c>
      <c r="F11" t="s">
        <v>43</v>
      </c>
      <c r="G11">
        <v>1</v>
      </c>
      <c r="H11" t="s">
        <v>57</v>
      </c>
    </row>
    <row r="12" spans="1:8" x14ac:dyDescent="0.25">
      <c r="A12" t="s">
        <v>58</v>
      </c>
      <c r="B12" t="s">
        <v>22</v>
      </c>
      <c r="C12" t="s">
        <v>45</v>
      </c>
      <c r="D12" t="s">
        <v>50</v>
      </c>
      <c r="E12" s="1">
        <v>45671</v>
      </c>
      <c r="F12" t="s">
        <v>35</v>
      </c>
      <c r="G12">
        <v>7</v>
      </c>
      <c r="H12" t="s">
        <v>47</v>
      </c>
    </row>
    <row r="13" spans="1:8" x14ac:dyDescent="0.25">
      <c r="A13" t="s">
        <v>59</v>
      </c>
      <c r="B13" t="s">
        <v>19</v>
      </c>
      <c r="C13" t="s">
        <v>38</v>
      </c>
      <c r="D13" t="s">
        <v>50</v>
      </c>
      <c r="E13" s="1">
        <v>45677</v>
      </c>
      <c r="F13" t="s">
        <v>40</v>
      </c>
      <c r="G13">
        <v>4</v>
      </c>
      <c r="H13" t="s">
        <v>60</v>
      </c>
    </row>
    <row r="14" spans="1:8" x14ac:dyDescent="0.25">
      <c r="A14" t="s">
        <v>61</v>
      </c>
      <c r="B14" t="s">
        <v>6</v>
      </c>
      <c r="C14" t="s">
        <v>49</v>
      </c>
      <c r="D14" t="s">
        <v>39</v>
      </c>
      <c r="E14" s="1">
        <v>45677</v>
      </c>
      <c r="F14" t="s">
        <v>62</v>
      </c>
      <c r="G14">
        <v>1</v>
      </c>
      <c r="H14" t="s">
        <v>36</v>
      </c>
    </row>
    <row r="15" spans="1:8" x14ac:dyDescent="0.25">
      <c r="A15" t="s">
        <v>63</v>
      </c>
      <c r="B15" t="s">
        <v>19</v>
      </c>
      <c r="C15" t="s">
        <v>33</v>
      </c>
      <c r="D15" t="s">
        <v>39</v>
      </c>
      <c r="E15" s="1">
        <v>45663</v>
      </c>
      <c r="F15" t="s">
        <v>64</v>
      </c>
      <c r="G15">
        <v>1</v>
      </c>
      <c r="H15" t="s">
        <v>47</v>
      </c>
    </row>
    <row r="16" spans="1:8" x14ac:dyDescent="0.25">
      <c r="A16" t="s">
        <v>65</v>
      </c>
      <c r="B16" t="s">
        <v>16</v>
      </c>
      <c r="C16" t="s">
        <v>38</v>
      </c>
      <c r="D16" t="s">
        <v>39</v>
      </c>
      <c r="E16" s="1">
        <v>45660</v>
      </c>
      <c r="F16" t="s">
        <v>64</v>
      </c>
      <c r="G16">
        <v>5</v>
      </c>
      <c r="H16" t="s">
        <v>36</v>
      </c>
    </row>
    <row r="17" spans="1:8" x14ac:dyDescent="0.25">
      <c r="A17" t="s">
        <v>66</v>
      </c>
      <c r="B17" t="s">
        <v>6</v>
      </c>
      <c r="C17" t="s">
        <v>45</v>
      </c>
      <c r="D17" t="s">
        <v>50</v>
      </c>
      <c r="E17" s="1">
        <v>45666</v>
      </c>
      <c r="F17" t="s">
        <v>40</v>
      </c>
      <c r="G17">
        <v>6</v>
      </c>
      <c r="H17" t="s">
        <v>57</v>
      </c>
    </row>
    <row r="18" spans="1:8" x14ac:dyDescent="0.25">
      <c r="A18" t="s">
        <v>67</v>
      </c>
      <c r="B18" t="s">
        <v>23</v>
      </c>
      <c r="C18" t="s">
        <v>38</v>
      </c>
      <c r="D18" t="s">
        <v>42</v>
      </c>
      <c r="E18" s="1">
        <v>45676</v>
      </c>
      <c r="F18" t="s">
        <v>43</v>
      </c>
      <c r="G18">
        <v>2</v>
      </c>
      <c r="H18" t="s">
        <v>47</v>
      </c>
    </row>
    <row r="19" spans="1:8" x14ac:dyDescent="0.25">
      <c r="A19" t="s">
        <v>68</v>
      </c>
      <c r="B19" t="s">
        <v>19</v>
      </c>
      <c r="C19" t="s">
        <v>33</v>
      </c>
      <c r="D19" t="s">
        <v>39</v>
      </c>
      <c r="E19" s="1">
        <v>45663</v>
      </c>
      <c r="F19" t="s">
        <v>62</v>
      </c>
      <c r="G19">
        <v>5</v>
      </c>
      <c r="H19" t="s">
        <v>36</v>
      </c>
    </row>
    <row r="20" spans="1:8" x14ac:dyDescent="0.25">
      <c r="A20" t="s">
        <v>69</v>
      </c>
      <c r="B20" t="s">
        <v>22</v>
      </c>
      <c r="C20" t="s">
        <v>49</v>
      </c>
      <c r="D20" t="s">
        <v>50</v>
      </c>
      <c r="E20" s="1">
        <v>45659</v>
      </c>
      <c r="F20" t="s">
        <v>62</v>
      </c>
      <c r="G20">
        <v>2</v>
      </c>
      <c r="H20" t="s">
        <v>36</v>
      </c>
    </row>
    <row r="21" spans="1:8" x14ac:dyDescent="0.25">
      <c r="A21" t="s">
        <v>70</v>
      </c>
      <c r="B21" t="s">
        <v>20</v>
      </c>
      <c r="C21" t="s">
        <v>49</v>
      </c>
      <c r="D21" t="s">
        <v>52</v>
      </c>
      <c r="E21" s="1">
        <v>45669</v>
      </c>
      <c r="F21" t="s">
        <v>43</v>
      </c>
      <c r="G21">
        <v>4</v>
      </c>
      <c r="H21" t="s">
        <v>36</v>
      </c>
    </row>
    <row r="22" spans="1:8" x14ac:dyDescent="0.25">
      <c r="A22" t="s">
        <v>71</v>
      </c>
      <c r="B22" t="s">
        <v>23</v>
      </c>
      <c r="C22" t="s">
        <v>33</v>
      </c>
      <c r="D22" t="s">
        <v>34</v>
      </c>
      <c r="E22" s="1">
        <v>45668</v>
      </c>
      <c r="F22" t="s">
        <v>43</v>
      </c>
      <c r="G22">
        <v>5</v>
      </c>
      <c r="H22" t="s">
        <v>57</v>
      </c>
    </row>
    <row r="23" spans="1:8" x14ac:dyDescent="0.25">
      <c r="A23" t="s">
        <v>72</v>
      </c>
      <c r="B23" t="s">
        <v>16</v>
      </c>
      <c r="C23" t="s">
        <v>45</v>
      </c>
      <c r="D23" t="s">
        <v>42</v>
      </c>
      <c r="E23" s="1">
        <v>45658</v>
      </c>
      <c r="F23" t="s">
        <v>40</v>
      </c>
      <c r="G23">
        <v>7</v>
      </c>
      <c r="H23" t="s">
        <v>60</v>
      </c>
    </row>
    <row r="24" spans="1:8" x14ac:dyDescent="0.25">
      <c r="A24" t="s">
        <v>73</v>
      </c>
      <c r="B24" t="s">
        <v>20</v>
      </c>
      <c r="C24" t="s">
        <v>33</v>
      </c>
      <c r="D24" t="s">
        <v>52</v>
      </c>
      <c r="E24" s="1">
        <v>45673</v>
      </c>
      <c r="F24" t="s">
        <v>35</v>
      </c>
      <c r="G24">
        <v>5</v>
      </c>
      <c r="H24" t="s">
        <v>60</v>
      </c>
    </row>
    <row r="25" spans="1:8" x14ac:dyDescent="0.25">
      <c r="A25" t="s">
        <v>74</v>
      </c>
      <c r="B25" t="s">
        <v>24</v>
      </c>
      <c r="C25" t="s">
        <v>33</v>
      </c>
      <c r="D25" t="s">
        <v>39</v>
      </c>
      <c r="E25" s="1">
        <v>45666</v>
      </c>
      <c r="F25" t="s">
        <v>43</v>
      </c>
      <c r="G25">
        <v>3</v>
      </c>
      <c r="H25" t="s">
        <v>47</v>
      </c>
    </row>
    <row r="26" spans="1:8" x14ac:dyDescent="0.25">
      <c r="A26" t="s">
        <v>75</v>
      </c>
      <c r="B26" t="s">
        <v>17</v>
      </c>
      <c r="C26" t="s">
        <v>45</v>
      </c>
      <c r="D26" t="s">
        <v>42</v>
      </c>
      <c r="E26" s="1">
        <v>45674</v>
      </c>
      <c r="F26" t="s">
        <v>62</v>
      </c>
      <c r="G26">
        <v>3</v>
      </c>
      <c r="H26" t="s">
        <v>47</v>
      </c>
    </row>
    <row r="27" spans="1:8" x14ac:dyDescent="0.25">
      <c r="A27" t="s">
        <v>76</v>
      </c>
      <c r="B27" t="s">
        <v>6</v>
      </c>
      <c r="C27" t="s">
        <v>45</v>
      </c>
      <c r="D27" t="s">
        <v>52</v>
      </c>
      <c r="E27" s="1">
        <v>45659</v>
      </c>
      <c r="F27" t="s">
        <v>43</v>
      </c>
      <c r="G27">
        <v>3</v>
      </c>
      <c r="H27" t="s">
        <v>60</v>
      </c>
    </row>
    <row r="28" spans="1:8" x14ac:dyDescent="0.25">
      <c r="A28" t="s">
        <v>77</v>
      </c>
      <c r="B28" t="s">
        <v>6</v>
      </c>
      <c r="C28" t="s">
        <v>38</v>
      </c>
      <c r="D28" t="s">
        <v>50</v>
      </c>
      <c r="E28" s="1">
        <v>45666</v>
      </c>
      <c r="F28" t="s">
        <v>46</v>
      </c>
      <c r="G28">
        <v>9</v>
      </c>
      <c r="H28" t="s">
        <v>47</v>
      </c>
    </row>
    <row r="29" spans="1:8" x14ac:dyDescent="0.25">
      <c r="A29" t="s">
        <v>78</v>
      </c>
      <c r="B29" t="s">
        <v>20</v>
      </c>
      <c r="C29" t="s">
        <v>33</v>
      </c>
      <c r="D29" t="s">
        <v>34</v>
      </c>
      <c r="E29" s="1">
        <v>45660</v>
      </c>
      <c r="F29" t="s">
        <v>43</v>
      </c>
      <c r="G29">
        <v>10</v>
      </c>
      <c r="H29" t="s">
        <v>36</v>
      </c>
    </row>
    <row r="30" spans="1:8" x14ac:dyDescent="0.25">
      <c r="A30" t="s">
        <v>79</v>
      </c>
      <c r="B30" t="s">
        <v>16</v>
      </c>
      <c r="C30" t="s">
        <v>33</v>
      </c>
      <c r="D30" t="s">
        <v>39</v>
      </c>
      <c r="E30" s="1">
        <v>45662</v>
      </c>
      <c r="F30" t="s">
        <v>64</v>
      </c>
      <c r="G30">
        <v>1</v>
      </c>
      <c r="H30" t="s">
        <v>36</v>
      </c>
    </row>
    <row r="31" spans="1:8" x14ac:dyDescent="0.25">
      <c r="A31" t="s">
        <v>80</v>
      </c>
      <c r="B31" t="s">
        <v>20</v>
      </c>
      <c r="C31" t="s">
        <v>33</v>
      </c>
      <c r="D31" t="s">
        <v>39</v>
      </c>
      <c r="E31" s="1">
        <v>45659</v>
      </c>
      <c r="F31" t="s">
        <v>40</v>
      </c>
      <c r="G31">
        <v>9</v>
      </c>
      <c r="H31" t="s">
        <v>36</v>
      </c>
    </row>
    <row r="32" spans="1:8" x14ac:dyDescent="0.25">
      <c r="A32" t="s">
        <v>81</v>
      </c>
      <c r="B32" t="s">
        <v>17</v>
      </c>
      <c r="C32" t="s">
        <v>38</v>
      </c>
      <c r="D32" t="s">
        <v>34</v>
      </c>
      <c r="E32" s="1">
        <v>45662</v>
      </c>
      <c r="F32" t="s">
        <v>64</v>
      </c>
      <c r="G32">
        <v>7</v>
      </c>
      <c r="H32" t="s">
        <v>47</v>
      </c>
    </row>
    <row r="33" spans="1:8" x14ac:dyDescent="0.25">
      <c r="A33" t="s">
        <v>82</v>
      </c>
      <c r="B33" t="s">
        <v>20</v>
      </c>
      <c r="C33" t="s">
        <v>33</v>
      </c>
      <c r="D33" t="s">
        <v>50</v>
      </c>
      <c r="E33" s="1">
        <v>45659</v>
      </c>
      <c r="F33" t="s">
        <v>43</v>
      </c>
      <c r="G33">
        <v>1</v>
      </c>
      <c r="H33" t="s">
        <v>47</v>
      </c>
    </row>
    <row r="34" spans="1:8" x14ac:dyDescent="0.25">
      <c r="A34" t="s">
        <v>83</v>
      </c>
      <c r="B34" t="s">
        <v>10</v>
      </c>
      <c r="C34" t="s">
        <v>45</v>
      </c>
      <c r="D34" t="s">
        <v>42</v>
      </c>
      <c r="E34" s="1">
        <v>45665</v>
      </c>
      <c r="F34" t="s">
        <v>40</v>
      </c>
      <c r="G34">
        <v>3</v>
      </c>
      <c r="H34" t="s">
        <v>60</v>
      </c>
    </row>
    <row r="35" spans="1:8" x14ac:dyDescent="0.25">
      <c r="A35" t="s">
        <v>84</v>
      </c>
      <c r="B35" t="s">
        <v>6</v>
      </c>
      <c r="C35" t="s">
        <v>38</v>
      </c>
      <c r="D35" t="s">
        <v>39</v>
      </c>
      <c r="E35" s="1">
        <v>45669</v>
      </c>
      <c r="F35" t="s">
        <v>62</v>
      </c>
      <c r="G35">
        <v>4</v>
      </c>
      <c r="H35" t="s">
        <v>36</v>
      </c>
    </row>
    <row r="36" spans="1:8" x14ac:dyDescent="0.25">
      <c r="A36" t="s">
        <v>85</v>
      </c>
      <c r="B36" t="s">
        <v>19</v>
      </c>
      <c r="C36" t="s">
        <v>45</v>
      </c>
      <c r="D36" t="s">
        <v>42</v>
      </c>
      <c r="E36" s="1">
        <v>45660</v>
      </c>
      <c r="F36" t="s">
        <v>43</v>
      </c>
      <c r="G36">
        <v>8</v>
      </c>
      <c r="H36" t="s">
        <v>36</v>
      </c>
    </row>
    <row r="37" spans="1:8" x14ac:dyDescent="0.25">
      <c r="A37" t="s">
        <v>86</v>
      </c>
      <c r="B37" t="s">
        <v>19</v>
      </c>
      <c r="C37" t="s">
        <v>49</v>
      </c>
      <c r="D37" t="s">
        <v>39</v>
      </c>
      <c r="E37" s="1">
        <v>45674</v>
      </c>
      <c r="F37" t="s">
        <v>46</v>
      </c>
      <c r="G37">
        <v>10</v>
      </c>
      <c r="H37" t="s">
        <v>60</v>
      </c>
    </row>
    <row r="38" spans="1:8" x14ac:dyDescent="0.25">
      <c r="A38" t="s">
        <v>87</v>
      </c>
      <c r="B38" t="s">
        <v>10</v>
      </c>
      <c r="C38" t="s">
        <v>38</v>
      </c>
      <c r="D38" t="s">
        <v>42</v>
      </c>
      <c r="E38" s="1">
        <v>45672</v>
      </c>
      <c r="F38" t="s">
        <v>62</v>
      </c>
      <c r="G38">
        <v>10</v>
      </c>
      <c r="H38" t="s">
        <v>47</v>
      </c>
    </row>
    <row r="39" spans="1:8" x14ac:dyDescent="0.25">
      <c r="A39" t="s">
        <v>88</v>
      </c>
      <c r="B39" t="s">
        <v>20</v>
      </c>
      <c r="C39" t="s">
        <v>33</v>
      </c>
      <c r="D39" t="s">
        <v>50</v>
      </c>
      <c r="E39" s="1">
        <v>45665</v>
      </c>
      <c r="F39" t="s">
        <v>40</v>
      </c>
      <c r="G39">
        <v>2</v>
      </c>
      <c r="H39" t="s">
        <v>57</v>
      </c>
    </row>
    <row r="40" spans="1:8" x14ac:dyDescent="0.25">
      <c r="A40" t="s">
        <v>89</v>
      </c>
      <c r="B40" t="s">
        <v>10</v>
      </c>
      <c r="C40" t="s">
        <v>33</v>
      </c>
      <c r="D40" t="s">
        <v>34</v>
      </c>
      <c r="E40" s="1">
        <v>45662</v>
      </c>
      <c r="F40" t="s">
        <v>43</v>
      </c>
      <c r="G40">
        <v>3</v>
      </c>
      <c r="H40" t="s">
        <v>60</v>
      </c>
    </row>
    <row r="41" spans="1:8" x14ac:dyDescent="0.25">
      <c r="A41" t="s">
        <v>90</v>
      </c>
      <c r="B41" t="s">
        <v>20</v>
      </c>
      <c r="C41" t="s">
        <v>45</v>
      </c>
      <c r="D41" t="s">
        <v>39</v>
      </c>
      <c r="E41" s="1">
        <v>45665</v>
      </c>
      <c r="F41" t="s">
        <v>64</v>
      </c>
      <c r="G41">
        <v>10</v>
      </c>
      <c r="H41" t="s">
        <v>60</v>
      </c>
    </row>
    <row r="42" spans="1:8" x14ac:dyDescent="0.25">
      <c r="A42" t="s">
        <v>91</v>
      </c>
      <c r="B42" t="s">
        <v>16</v>
      </c>
      <c r="C42" t="s">
        <v>49</v>
      </c>
      <c r="D42" t="s">
        <v>42</v>
      </c>
      <c r="E42" s="1">
        <v>45674</v>
      </c>
      <c r="F42" t="s">
        <v>64</v>
      </c>
      <c r="G42">
        <v>6</v>
      </c>
      <c r="H42" t="s">
        <v>47</v>
      </c>
    </row>
    <row r="43" spans="1:8" x14ac:dyDescent="0.25">
      <c r="A43" t="s">
        <v>92</v>
      </c>
      <c r="B43" t="s">
        <v>17</v>
      </c>
      <c r="C43" t="s">
        <v>33</v>
      </c>
      <c r="D43" t="s">
        <v>52</v>
      </c>
      <c r="E43" s="1">
        <v>45665</v>
      </c>
      <c r="F43" t="s">
        <v>64</v>
      </c>
      <c r="G43">
        <v>7</v>
      </c>
      <c r="H43" t="s">
        <v>36</v>
      </c>
    </row>
    <row r="44" spans="1:8" x14ac:dyDescent="0.25">
      <c r="A44" t="s">
        <v>93</v>
      </c>
      <c r="B44" t="s">
        <v>6</v>
      </c>
      <c r="C44" t="s">
        <v>38</v>
      </c>
      <c r="D44" t="s">
        <v>34</v>
      </c>
      <c r="E44" s="1">
        <v>45672</v>
      </c>
      <c r="F44" t="s">
        <v>35</v>
      </c>
      <c r="G44">
        <v>7</v>
      </c>
      <c r="H44" t="s">
        <v>57</v>
      </c>
    </row>
    <row r="45" spans="1:8" x14ac:dyDescent="0.25">
      <c r="A45" t="s">
        <v>94</v>
      </c>
      <c r="B45" t="s">
        <v>24</v>
      </c>
      <c r="C45" t="s">
        <v>33</v>
      </c>
      <c r="D45" t="s">
        <v>52</v>
      </c>
      <c r="E45" s="1">
        <v>45674</v>
      </c>
      <c r="F45" t="s">
        <v>62</v>
      </c>
      <c r="G45">
        <v>4</v>
      </c>
      <c r="H45" t="s">
        <v>57</v>
      </c>
    </row>
    <row r="46" spans="1:8" x14ac:dyDescent="0.25">
      <c r="A46" t="s">
        <v>95</v>
      </c>
      <c r="B46" t="s">
        <v>6</v>
      </c>
      <c r="C46" t="s">
        <v>45</v>
      </c>
      <c r="D46" t="s">
        <v>42</v>
      </c>
      <c r="E46" s="1">
        <v>45666</v>
      </c>
      <c r="F46" t="s">
        <v>64</v>
      </c>
      <c r="G46">
        <v>3</v>
      </c>
      <c r="H46" t="s">
        <v>36</v>
      </c>
    </row>
    <row r="47" spans="1:8" x14ac:dyDescent="0.25">
      <c r="A47" t="s">
        <v>96</v>
      </c>
      <c r="B47" t="s">
        <v>6</v>
      </c>
      <c r="C47" t="s">
        <v>33</v>
      </c>
      <c r="D47" t="s">
        <v>42</v>
      </c>
      <c r="E47" s="1">
        <v>45663</v>
      </c>
      <c r="F47" t="s">
        <v>43</v>
      </c>
      <c r="G47">
        <v>8</v>
      </c>
      <c r="H47" t="s">
        <v>57</v>
      </c>
    </row>
    <row r="48" spans="1:8" x14ac:dyDescent="0.25">
      <c r="A48" t="s">
        <v>97</v>
      </c>
      <c r="B48" t="s">
        <v>23</v>
      </c>
      <c r="C48" t="s">
        <v>38</v>
      </c>
      <c r="D48" t="s">
        <v>50</v>
      </c>
      <c r="E48" s="1">
        <v>45677</v>
      </c>
      <c r="F48" t="s">
        <v>40</v>
      </c>
      <c r="G48">
        <v>8</v>
      </c>
      <c r="H48" t="s">
        <v>36</v>
      </c>
    </row>
    <row r="49" spans="1:8" x14ac:dyDescent="0.25">
      <c r="A49" t="s">
        <v>98</v>
      </c>
      <c r="B49" t="s">
        <v>20</v>
      </c>
      <c r="C49" t="s">
        <v>45</v>
      </c>
      <c r="D49" t="s">
        <v>34</v>
      </c>
      <c r="E49" s="1">
        <v>45662</v>
      </c>
      <c r="F49" t="s">
        <v>46</v>
      </c>
      <c r="G49">
        <v>9</v>
      </c>
      <c r="H49" t="s">
        <v>60</v>
      </c>
    </row>
    <row r="50" spans="1:8" x14ac:dyDescent="0.25">
      <c r="A50" t="s">
        <v>99</v>
      </c>
      <c r="B50" t="s">
        <v>13</v>
      </c>
      <c r="C50" t="s">
        <v>38</v>
      </c>
      <c r="D50" t="s">
        <v>50</v>
      </c>
      <c r="E50" s="1">
        <v>45673</v>
      </c>
      <c r="F50" t="s">
        <v>62</v>
      </c>
      <c r="G50">
        <v>6</v>
      </c>
      <c r="H50" t="s">
        <v>57</v>
      </c>
    </row>
    <row r="51" spans="1:8" x14ac:dyDescent="0.25">
      <c r="A51" t="s">
        <v>100</v>
      </c>
      <c r="B51" t="s">
        <v>20</v>
      </c>
      <c r="C51" t="s">
        <v>33</v>
      </c>
      <c r="D51" t="s">
        <v>52</v>
      </c>
      <c r="E51" s="1">
        <v>45671</v>
      </c>
      <c r="F51" t="s">
        <v>62</v>
      </c>
      <c r="G51">
        <v>5</v>
      </c>
      <c r="H51" t="s">
        <v>57</v>
      </c>
    </row>
    <row r="52" spans="1:8" x14ac:dyDescent="0.25">
      <c r="A52" t="s">
        <v>101</v>
      </c>
      <c r="B52" t="s">
        <v>19</v>
      </c>
      <c r="C52" t="s">
        <v>45</v>
      </c>
      <c r="D52" t="s">
        <v>34</v>
      </c>
      <c r="E52" s="1">
        <v>45665</v>
      </c>
      <c r="F52" t="s">
        <v>35</v>
      </c>
      <c r="G52">
        <v>8</v>
      </c>
      <c r="H52" t="s">
        <v>60</v>
      </c>
    </row>
    <row r="53" spans="1:8" x14ac:dyDescent="0.25">
      <c r="A53" t="s">
        <v>102</v>
      </c>
      <c r="B53" t="s">
        <v>17</v>
      </c>
      <c r="C53" t="s">
        <v>49</v>
      </c>
      <c r="D53" t="s">
        <v>42</v>
      </c>
      <c r="E53" s="1">
        <v>45675</v>
      </c>
      <c r="F53" t="s">
        <v>40</v>
      </c>
      <c r="G53">
        <v>9</v>
      </c>
      <c r="H53" t="s">
        <v>60</v>
      </c>
    </row>
    <row r="54" spans="1:8" x14ac:dyDescent="0.25">
      <c r="A54" t="s">
        <v>103</v>
      </c>
      <c r="B54" t="s">
        <v>10</v>
      </c>
      <c r="C54" t="s">
        <v>45</v>
      </c>
      <c r="D54" t="s">
        <v>42</v>
      </c>
      <c r="E54" s="1">
        <v>45669</v>
      </c>
      <c r="F54" t="s">
        <v>64</v>
      </c>
      <c r="G54">
        <v>7</v>
      </c>
      <c r="H54" t="s">
        <v>57</v>
      </c>
    </row>
    <row r="55" spans="1:8" x14ac:dyDescent="0.25">
      <c r="A55" t="s">
        <v>104</v>
      </c>
      <c r="B55" t="s">
        <v>20</v>
      </c>
      <c r="C55" t="s">
        <v>33</v>
      </c>
      <c r="D55" t="s">
        <v>50</v>
      </c>
      <c r="E55" s="1">
        <v>45659</v>
      </c>
      <c r="F55" t="s">
        <v>43</v>
      </c>
      <c r="G55">
        <v>2</v>
      </c>
      <c r="H55" t="s">
        <v>47</v>
      </c>
    </row>
    <row r="56" spans="1:8" x14ac:dyDescent="0.25">
      <c r="A56" t="s">
        <v>105</v>
      </c>
      <c r="B56" t="s">
        <v>24</v>
      </c>
      <c r="C56" t="s">
        <v>33</v>
      </c>
      <c r="D56" t="s">
        <v>34</v>
      </c>
      <c r="E56" s="1">
        <v>45673</v>
      </c>
      <c r="F56" t="s">
        <v>62</v>
      </c>
      <c r="G56">
        <v>8</v>
      </c>
      <c r="H56" t="s">
        <v>57</v>
      </c>
    </row>
    <row r="57" spans="1:8" x14ac:dyDescent="0.25">
      <c r="A57" t="s">
        <v>106</v>
      </c>
      <c r="B57" t="s">
        <v>10</v>
      </c>
      <c r="C57" t="s">
        <v>45</v>
      </c>
      <c r="D57" t="s">
        <v>50</v>
      </c>
      <c r="E57" s="1">
        <v>45667</v>
      </c>
      <c r="F57" t="s">
        <v>62</v>
      </c>
      <c r="G57">
        <v>6</v>
      </c>
      <c r="H57" t="s">
        <v>60</v>
      </c>
    </row>
    <row r="58" spans="1:8" x14ac:dyDescent="0.25">
      <c r="A58" t="s">
        <v>107</v>
      </c>
      <c r="B58" t="s">
        <v>22</v>
      </c>
      <c r="C58" t="s">
        <v>45</v>
      </c>
      <c r="D58" t="s">
        <v>52</v>
      </c>
      <c r="E58" s="1">
        <v>45672</v>
      </c>
      <c r="F58" t="s">
        <v>62</v>
      </c>
      <c r="G58">
        <v>2</v>
      </c>
      <c r="H58" t="s">
        <v>57</v>
      </c>
    </row>
    <row r="59" spans="1:8" x14ac:dyDescent="0.25">
      <c r="A59" t="s">
        <v>108</v>
      </c>
      <c r="B59" t="s">
        <v>17</v>
      </c>
      <c r="C59" t="s">
        <v>49</v>
      </c>
      <c r="D59" t="s">
        <v>39</v>
      </c>
      <c r="E59" s="1">
        <v>45665</v>
      </c>
      <c r="F59" t="s">
        <v>46</v>
      </c>
      <c r="G59">
        <v>4</v>
      </c>
      <c r="H59" t="s">
        <v>57</v>
      </c>
    </row>
    <row r="60" spans="1:8" x14ac:dyDescent="0.25">
      <c r="A60" t="s">
        <v>109</v>
      </c>
      <c r="B60" t="s">
        <v>20</v>
      </c>
      <c r="C60" t="s">
        <v>49</v>
      </c>
      <c r="D60" t="s">
        <v>39</v>
      </c>
      <c r="E60" s="1">
        <v>45665</v>
      </c>
      <c r="F60" t="s">
        <v>35</v>
      </c>
      <c r="G60">
        <v>1</v>
      </c>
      <c r="H60" t="s">
        <v>36</v>
      </c>
    </row>
    <row r="61" spans="1:8" x14ac:dyDescent="0.25">
      <c r="A61" t="s">
        <v>110</v>
      </c>
      <c r="B61" t="s">
        <v>22</v>
      </c>
      <c r="C61" t="s">
        <v>38</v>
      </c>
      <c r="D61" t="s">
        <v>34</v>
      </c>
      <c r="E61" s="1">
        <v>45660</v>
      </c>
      <c r="F61" t="s">
        <v>40</v>
      </c>
      <c r="G61">
        <v>5</v>
      </c>
      <c r="H61" t="s">
        <v>60</v>
      </c>
    </row>
    <row r="62" spans="1:8" x14ac:dyDescent="0.25">
      <c r="A62" t="s">
        <v>111</v>
      </c>
      <c r="B62" t="s">
        <v>22</v>
      </c>
      <c r="C62" t="s">
        <v>38</v>
      </c>
      <c r="D62" t="s">
        <v>52</v>
      </c>
      <c r="E62" s="1">
        <v>45677</v>
      </c>
      <c r="F62" t="s">
        <v>64</v>
      </c>
      <c r="G62">
        <v>8</v>
      </c>
      <c r="H62" t="s">
        <v>47</v>
      </c>
    </row>
    <row r="63" spans="1:8" x14ac:dyDescent="0.25">
      <c r="A63" t="s">
        <v>112</v>
      </c>
      <c r="B63" t="s">
        <v>23</v>
      </c>
      <c r="C63" t="s">
        <v>45</v>
      </c>
      <c r="D63" t="s">
        <v>52</v>
      </c>
      <c r="E63" s="1">
        <v>45668</v>
      </c>
      <c r="F63" t="s">
        <v>40</v>
      </c>
      <c r="G63">
        <v>5</v>
      </c>
      <c r="H63" t="s">
        <v>47</v>
      </c>
    </row>
    <row r="64" spans="1:8" x14ac:dyDescent="0.25">
      <c r="A64" t="s">
        <v>113</v>
      </c>
      <c r="B64" t="s">
        <v>24</v>
      </c>
      <c r="C64" t="s">
        <v>45</v>
      </c>
      <c r="D64" t="s">
        <v>34</v>
      </c>
      <c r="E64" s="1">
        <v>45658</v>
      </c>
      <c r="F64" t="s">
        <v>35</v>
      </c>
      <c r="G64">
        <v>5</v>
      </c>
      <c r="H64" t="s">
        <v>36</v>
      </c>
    </row>
    <row r="65" spans="1:8" x14ac:dyDescent="0.25">
      <c r="A65" t="s">
        <v>114</v>
      </c>
      <c r="B65" t="s">
        <v>10</v>
      </c>
      <c r="C65" t="s">
        <v>33</v>
      </c>
      <c r="D65" t="s">
        <v>39</v>
      </c>
      <c r="E65" s="1">
        <v>45671</v>
      </c>
      <c r="F65" t="s">
        <v>46</v>
      </c>
      <c r="G65">
        <v>2</v>
      </c>
      <c r="H65" t="s">
        <v>60</v>
      </c>
    </row>
    <row r="66" spans="1:8" x14ac:dyDescent="0.25">
      <c r="A66" t="s">
        <v>115</v>
      </c>
      <c r="B66" t="s">
        <v>22</v>
      </c>
      <c r="C66" t="s">
        <v>45</v>
      </c>
      <c r="D66" t="s">
        <v>42</v>
      </c>
      <c r="E66" s="1">
        <v>45672</v>
      </c>
      <c r="F66" t="s">
        <v>62</v>
      </c>
      <c r="G66">
        <v>1</v>
      </c>
      <c r="H66" t="s">
        <v>60</v>
      </c>
    </row>
    <row r="67" spans="1:8" x14ac:dyDescent="0.25">
      <c r="A67" t="s">
        <v>116</v>
      </c>
      <c r="B67" t="s">
        <v>22</v>
      </c>
      <c r="C67" t="s">
        <v>49</v>
      </c>
      <c r="D67" t="s">
        <v>50</v>
      </c>
      <c r="E67" s="1">
        <v>45658</v>
      </c>
      <c r="F67" t="s">
        <v>35</v>
      </c>
      <c r="G67">
        <v>4</v>
      </c>
      <c r="H67" t="s">
        <v>57</v>
      </c>
    </row>
    <row r="68" spans="1:8" x14ac:dyDescent="0.25">
      <c r="A68" t="s">
        <v>117</v>
      </c>
      <c r="B68" t="s">
        <v>24</v>
      </c>
      <c r="C68" t="s">
        <v>45</v>
      </c>
      <c r="D68" t="s">
        <v>34</v>
      </c>
      <c r="E68" s="1">
        <v>45676</v>
      </c>
      <c r="F68" t="s">
        <v>46</v>
      </c>
      <c r="G68">
        <v>4</v>
      </c>
      <c r="H68" t="s">
        <v>60</v>
      </c>
    </row>
    <row r="69" spans="1:8" x14ac:dyDescent="0.25">
      <c r="A69" t="s">
        <v>118</v>
      </c>
      <c r="B69" t="s">
        <v>20</v>
      </c>
      <c r="C69" t="s">
        <v>45</v>
      </c>
      <c r="D69" t="s">
        <v>52</v>
      </c>
      <c r="E69" s="1">
        <v>45665</v>
      </c>
      <c r="F69" t="s">
        <v>46</v>
      </c>
      <c r="G69">
        <v>5</v>
      </c>
      <c r="H69" t="s">
        <v>47</v>
      </c>
    </row>
    <row r="70" spans="1:8" x14ac:dyDescent="0.25">
      <c r="A70" t="s">
        <v>119</v>
      </c>
      <c r="B70" t="s">
        <v>22</v>
      </c>
      <c r="C70" t="s">
        <v>45</v>
      </c>
      <c r="D70" t="s">
        <v>52</v>
      </c>
      <c r="E70" s="1">
        <v>45661</v>
      </c>
      <c r="F70" t="s">
        <v>40</v>
      </c>
      <c r="G70">
        <v>4</v>
      </c>
      <c r="H70" t="s">
        <v>47</v>
      </c>
    </row>
    <row r="71" spans="1:8" x14ac:dyDescent="0.25">
      <c r="A71" t="s">
        <v>120</v>
      </c>
      <c r="B71" t="s">
        <v>17</v>
      </c>
      <c r="C71" t="s">
        <v>33</v>
      </c>
      <c r="D71" t="s">
        <v>50</v>
      </c>
      <c r="E71" s="1">
        <v>45675</v>
      </c>
      <c r="F71" t="s">
        <v>43</v>
      </c>
      <c r="G71">
        <v>10</v>
      </c>
      <c r="H71" t="s">
        <v>60</v>
      </c>
    </row>
    <row r="72" spans="1:8" x14ac:dyDescent="0.25">
      <c r="A72" t="s">
        <v>121</v>
      </c>
      <c r="B72" t="s">
        <v>20</v>
      </c>
      <c r="C72" t="s">
        <v>49</v>
      </c>
      <c r="D72" t="s">
        <v>39</v>
      </c>
      <c r="E72" s="1">
        <v>45672</v>
      </c>
      <c r="F72" t="s">
        <v>64</v>
      </c>
      <c r="G72">
        <v>6</v>
      </c>
      <c r="H72" t="s">
        <v>57</v>
      </c>
    </row>
    <row r="73" spans="1:8" x14ac:dyDescent="0.25">
      <c r="A73" t="s">
        <v>122</v>
      </c>
      <c r="B73" t="s">
        <v>16</v>
      </c>
      <c r="C73" t="s">
        <v>38</v>
      </c>
      <c r="D73" t="s">
        <v>39</v>
      </c>
      <c r="E73" s="1">
        <v>45672</v>
      </c>
      <c r="F73" t="s">
        <v>40</v>
      </c>
      <c r="G73">
        <v>3</v>
      </c>
      <c r="H73" t="s">
        <v>36</v>
      </c>
    </row>
    <row r="74" spans="1:8" x14ac:dyDescent="0.25">
      <c r="A74" t="s">
        <v>123</v>
      </c>
      <c r="B74" t="s">
        <v>22</v>
      </c>
      <c r="C74" t="s">
        <v>33</v>
      </c>
      <c r="D74" t="s">
        <v>34</v>
      </c>
      <c r="E74" s="1">
        <v>45665</v>
      </c>
      <c r="F74" t="s">
        <v>46</v>
      </c>
      <c r="G74">
        <v>5</v>
      </c>
      <c r="H74" t="s">
        <v>57</v>
      </c>
    </row>
    <row r="75" spans="1:8" x14ac:dyDescent="0.25">
      <c r="A75" t="s">
        <v>124</v>
      </c>
      <c r="B75" t="s">
        <v>13</v>
      </c>
      <c r="C75" t="s">
        <v>38</v>
      </c>
      <c r="D75" t="s">
        <v>52</v>
      </c>
      <c r="E75" s="1">
        <v>45677</v>
      </c>
      <c r="F75" t="s">
        <v>43</v>
      </c>
      <c r="G75">
        <v>8</v>
      </c>
      <c r="H75" t="s">
        <v>57</v>
      </c>
    </row>
    <row r="76" spans="1:8" x14ac:dyDescent="0.25">
      <c r="A76" t="s">
        <v>125</v>
      </c>
      <c r="B76" t="s">
        <v>13</v>
      </c>
      <c r="C76" t="s">
        <v>33</v>
      </c>
      <c r="D76" t="s">
        <v>34</v>
      </c>
      <c r="E76" s="1">
        <v>45663</v>
      </c>
      <c r="F76" t="s">
        <v>43</v>
      </c>
      <c r="G76">
        <v>4</v>
      </c>
      <c r="H76" t="s">
        <v>60</v>
      </c>
    </row>
    <row r="77" spans="1:8" x14ac:dyDescent="0.25">
      <c r="A77" t="s">
        <v>126</v>
      </c>
      <c r="B77" t="s">
        <v>13</v>
      </c>
      <c r="C77" t="s">
        <v>33</v>
      </c>
      <c r="D77" t="s">
        <v>39</v>
      </c>
      <c r="E77" s="1">
        <v>45670</v>
      </c>
      <c r="F77" t="s">
        <v>46</v>
      </c>
      <c r="G77">
        <v>10</v>
      </c>
      <c r="H77" t="s">
        <v>36</v>
      </c>
    </row>
    <row r="78" spans="1:8" x14ac:dyDescent="0.25">
      <c r="A78" t="s">
        <v>127</v>
      </c>
      <c r="B78" t="s">
        <v>22</v>
      </c>
      <c r="C78" t="s">
        <v>45</v>
      </c>
      <c r="D78" t="s">
        <v>42</v>
      </c>
      <c r="E78" s="1">
        <v>45661</v>
      </c>
      <c r="F78" t="s">
        <v>43</v>
      </c>
      <c r="G78">
        <v>5</v>
      </c>
      <c r="H78" t="s">
        <v>47</v>
      </c>
    </row>
    <row r="79" spans="1:8" x14ac:dyDescent="0.25">
      <c r="A79" t="s">
        <v>128</v>
      </c>
      <c r="B79" t="s">
        <v>6</v>
      </c>
      <c r="C79" t="s">
        <v>33</v>
      </c>
      <c r="D79" t="s">
        <v>42</v>
      </c>
      <c r="E79" s="1">
        <v>45676</v>
      </c>
      <c r="F79" t="s">
        <v>64</v>
      </c>
      <c r="G79">
        <v>10</v>
      </c>
      <c r="H79" t="s">
        <v>47</v>
      </c>
    </row>
    <row r="80" spans="1:8" x14ac:dyDescent="0.25">
      <c r="A80" t="s">
        <v>129</v>
      </c>
      <c r="B80" t="s">
        <v>17</v>
      </c>
      <c r="C80" t="s">
        <v>38</v>
      </c>
      <c r="D80" t="s">
        <v>42</v>
      </c>
      <c r="E80" s="1">
        <v>45677</v>
      </c>
      <c r="F80" t="s">
        <v>46</v>
      </c>
      <c r="G80">
        <v>5</v>
      </c>
      <c r="H80" t="s">
        <v>57</v>
      </c>
    </row>
    <row r="81" spans="1:8" x14ac:dyDescent="0.25">
      <c r="A81" t="s">
        <v>130</v>
      </c>
      <c r="B81" t="s">
        <v>10</v>
      </c>
      <c r="C81" t="s">
        <v>45</v>
      </c>
      <c r="D81" t="s">
        <v>52</v>
      </c>
      <c r="E81" s="1">
        <v>45674</v>
      </c>
      <c r="F81" t="s">
        <v>35</v>
      </c>
      <c r="G81">
        <v>2</v>
      </c>
      <c r="H81" t="s">
        <v>47</v>
      </c>
    </row>
    <row r="82" spans="1:8" x14ac:dyDescent="0.25">
      <c r="A82" t="s">
        <v>131</v>
      </c>
      <c r="B82" t="s">
        <v>13</v>
      </c>
      <c r="C82" t="s">
        <v>45</v>
      </c>
      <c r="D82" t="s">
        <v>50</v>
      </c>
      <c r="E82" s="1">
        <v>45674</v>
      </c>
      <c r="F82" t="s">
        <v>35</v>
      </c>
      <c r="G82">
        <v>1</v>
      </c>
      <c r="H82" t="s">
        <v>57</v>
      </c>
    </row>
    <row r="83" spans="1:8" x14ac:dyDescent="0.25">
      <c r="A83" t="s">
        <v>132</v>
      </c>
      <c r="B83" t="s">
        <v>23</v>
      </c>
      <c r="C83" t="s">
        <v>49</v>
      </c>
      <c r="D83" t="s">
        <v>39</v>
      </c>
      <c r="E83" s="1">
        <v>45668</v>
      </c>
      <c r="F83" t="s">
        <v>62</v>
      </c>
      <c r="G83">
        <v>8</v>
      </c>
      <c r="H83" t="s">
        <v>60</v>
      </c>
    </row>
    <row r="84" spans="1:8" x14ac:dyDescent="0.25">
      <c r="A84" t="s">
        <v>133</v>
      </c>
      <c r="B84" t="s">
        <v>20</v>
      </c>
      <c r="C84" t="s">
        <v>49</v>
      </c>
      <c r="D84" t="s">
        <v>50</v>
      </c>
      <c r="E84" s="1">
        <v>45671</v>
      </c>
      <c r="F84" t="s">
        <v>46</v>
      </c>
      <c r="G84">
        <v>10</v>
      </c>
      <c r="H84" t="s">
        <v>47</v>
      </c>
    </row>
    <row r="85" spans="1:8" x14ac:dyDescent="0.25">
      <c r="A85" t="s">
        <v>134</v>
      </c>
      <c r="B85" t="s">
        <v>16</v>
      </c>
      <c r="C85" t="s">
        <v>49</v>
      </c>
      <c r="D85" t="s">
        <v>34</v>
      </c>
      <c r="E85" s="1">
        <v>45675</v>
      </c>
      <c r="F85" t="s">
        <v>40</v>
      </c>
      <c r="G85">
        <v>3</v>
      </c>
      <c r="H85" t="s">
        <v>36</v>
      </c>
    </row>
    <row r="86" spans="1:8" x14ac:dyDescent="0.25">
      <c r="A86" t="s">
        <v>135</v>
      </c>
      <c r="B86" t="s">
        <v>16</v>
      </c>
      <c r="C86" t="s">
        <v>49</v>
      </c>
      <c r="D86" t="s">
        <v>52</v>
      </c>
      <c r="E86" s="1">
        <v>45665</v>
      </c>
      <c r="F86" t="s">
        <v>43</v>
      </c>
      <c r="G86">
        <v>2</v>
      </c>
      <c r="H86" t="s">
        <v>36</v>
      </c>
    </row>
    <row r="87" spans="1:8" x14ac:dyDescent="0.25">
      <c r="A87" t="s">
        <v>136</v>
      </c>
      <c r="B87" t="s">
        <v>23</v>
      </c>
      <c r="C87" t="s">
        <v>45</v>
      </c>
      <c r="D87" t="s">
        <v>50</v>
      </c>
      <c r="E87" s="1">
        <v>45673</v>
      </c>
      <c r="F87" t="s">
        <v>64</v>
      </c>
      <c r="G87">
        <v>10</v>
      </c>
      <c r="H87" t="s">
        <v>47</v>
      </c>
    </row>
    <row r="88" spans="1:8" x14ac:dyDescent="0.25">
      <c r="A88" t="s">
        <v>137</v>
      </c>
      <c r="B88" t="s">
        <v>23</v>
      </c>
      <c r="C88" t="s">
        <v>49</v>
      </c>
      <c r="D88" t="s">
        <v>34</v>
      </c>
      <c r="E88" s="1">
        <v>45663</v>
      </c>
      <c r="F88" t="s">
        <v>62</v>
      </c>
      <c r="G88">
        <v>4</v>
      </c>
      <c r="H88" t="s">
        <v>47</v>
      </c>
    </row>
    <row r="89" spans="1:8" x14ac:dyDescent="0.25">
      <c r="A89" t="s">
        <v>138</v>
      </c>
      <c r="B89" t="s">
        <v>16</v>
      </c>
      <c r="C89" t="s">
        <v>33</v>
      </c>
      <c r="D89" t="s">
        <v>52</v>
      </c>
      <c r="E89" s="1">
        <v>45670</v>
      </c>
      <c r="F89" t="s">
        <v>46</v>
      </c>
      <c r="G89">
        <v>2</v>
      </c>
      <c r="H89" t="s">
        <v>57</v>
      </c>
    </row>
    <row r="90" spans="1:8" x14ac:dyDescent="0.25">
      <c r="A90" t="s">
        <v>139</v>
      </c>
      <c r="B90" t="s">
        <v>22</v>
      </c>
      <c r="C90" t="s">
        <v>33</v>
      </c>
      <c r="D90" t="s">
        <v>50</v>
      </c>
      <c r="E90" s="1">
        <v>45666</v>
      </c>
      <c r="F90" t="s">
        <v>40</v>
      </c>
      <c r="G90">
        <v>7</v>
      </c>
      <c r="H90" t="s">
        <v>36</v>
      </c>
    </row>
    <row r="91" spans="1:8" x14ac:dyDescent="0.25">
      <c r="A91" t="s">
        <v>140</v>
      </c>
      <c r="B91" t="s">
        <v>13</v>
      </c>
      <c r="C91" t="s">
        <v>45</v>
      </c>
      <c r="D91" t="s">
        <v>39</v>
      </c>
      <c r="E91" s="1">
        <v>45669</v>
      </c>
      <c r="F91" t="s">
        <v>40</v>
      </c>
      <c r="G91">
        <v>9</v>
      </c>
      <c r="H91" t="s">
        <v>60</v>
      </c>
    </row>
    <row r="92" spans="1:8" x14ac:dyDescent="0.25">
      <c r="A92" t="s">
        <v>141</v>
      </c>
      <c r="B92" t="s">
        <v>19</v>
      </c>
      <c r="C92" t="s">
        <v>38</v>
      </c>
      <c r="D92" t="s">
        <v>52</v>
      </c>
      <c r="E92" s="1">
        <v>45663</v>
      </c>
      <c r="F92" t="s">
        <v>43</v>
      </c>
      <c r="G92">
        <v>4</v>
      </c>
      <c r="H92" t="s">
        <v>36</v>
      </c>
    </row>
    <row r="93" spans="1:8" x14ac:dyDescent="0.25">
      <c r="A93" t="s">
        <v>142</v>
      </c>
      <c r="B93" t="s">
        <v>13</v>
      </c>
      <c r="C93" t="s">
        <v>45</v>
      </c>
      <c r="D93" t="s">
        <v>39</v>
      </c>
      <c r="E93" s="1">
        <v>45675</v>
      </c>
      <c r="F93" t="s">
        <v>40</v>
      </c>
      <c r="G93">
        <v>1</v>
      </c>
      <c r="H93" t="s">
        <v>36</v>
      </c>
    </row>
    <row r="94" spans="1:8" x14ac:dyDescent="0.25">
      <c r="A94" t="s">
        <v>143</v>
      </c>
      <c r="B94" t="s">
        <v>20</v>
      </c>
      <c r="C94" t="s">
        <v>49</v>
      </c>
      <c r="D94" t="s">
        <v>34</v>
      </c>
      <c r="E94" s="1">
        <v>45668</v>
      </c>
      <c r="F94" t="s">
        <v>46</v>
      </c>
      <c r="G94">
        <v>4</v>
      </c>
      <c r="H94" t="s">
        <v>60</v>
      </c>
    </row>
    <row r="95" spans="1:8" x14ac:dyDescent="0.25">
      <c r="A95" t="s">
        <v>144</v>
      </c>
      <c r="B95" t="s">
        <v>10</v>
      </c>
      <c r="C95" t="s">
        <v>45</v>
      </c>
      <c r="D95" t="s">
        <v>39</v>
      </c>
      <c r="E95" s="1">
        <v>45668</v>
      </c>
      <c r="F95" t="s">
        <v>62</v>
      </c>
      <c r="G95">
        <v>10</v>
      </c>
      <c r="H95" t="s">
        <v>57</v>
      </c>
    </row>
    <row r="96" spans="1:8" x14ac:dyDescent="0.25">
      <c r="A96" t="s">
        <v>145</v>
      </c>
      <c r="B96" t="s">
        <v>20</v>
      </c>
      <c r="C96" t="s">
        <v>49</v>
      </c>
      <c r="D96" t="s">
        <v>52</v>
      </c>
      <c r="E96" s="1">
        <v>45666</v>
      </c>
      <c r="F96" t="s">
        <v>62</v>
      </c>
      <c r="G96">
        <v>8</v>
      </c>
      <c r="H96" t="s">
        <v>57</v>
      </c>
    </row>
    <row r="97" spans="1:8" x14ac:dyDescent="0.25">
      <c r="A97" t="s">
        <v>146</v>
      </c>
      <c r="B97" t="s">
        <v>16</v>
      </c>
      <c r="C97" t="s">
        <v>38</v>
      </c>
      <c r="D97" t="s">
        <v>50</v>
      </c>
      <c r="E97" s="1">
        <v>45661</v>
      </c>
      <c r="F97" t="s">
        <v>62</v>
      </c>
      <c r="G97">
        <v>1</v>
      </c>
      <c r="H97" t="s">
        <v>36</v>
      </c>
    </row>
    <row r="98" spans="1:8" x14ac:dyDescent="0.25">
      <c r="A98" t="s">
        <v>147</v>
      </c>
      <c r="B98" t="s">
        <v>22</v>
      </c>
      <c r="C98" t="s">
        <v>33</v>
      </c>
      <c r="D98" t="s">
        <v>34</v>
      </c>
      <c r="E98" s="1">
        <v>45676</v>
      </c>
      <c r="F98" t="s">
        <v>40</v>
      </c>
      <c r="G98">
        <v>3</v>
      </c>
      <c r="H98" t="s">
        <v>36</v>
      </c>
    </row>
    <row r="99" spans="1:8" x14ac:dyDescent="0.25">
      <c r="A99" t="s">
        <v>148</v>
      </c>
      <c r="B99" t="s">
        <v>20</v>
      </c>
      <c r="C99" t="s">
        <v>38</v>
      </c>
      <c r="D99" t="s">
        <v>42</v>
      </c>
      <c r="E99" s="1">
        <v>45667</v>
      </c>
      <c r="F99" t="s">
        <v>46</v>
      </c>
      <c r="G99">
        <v>4</v>
      </c>
      <c r="H99" t="s">
        <v>36</v>
      </c>
    </row>
    <row r="100" spans="1:8" x14ac:dyDescent="0.25">
      <c r="A100" t="s">
        <v>149</v>
      </c>
      <c r="B100" t="s">
        <v>20</v>
      </c>
      <c r="C100" t="s">
        <v>38</v>
      </c>
      <c r="D100" t="s">
        <v>50</v>
      </c>
      <c r="E100" s="1">
        <v>45672</v>
      </c>
      <c r="F100" t="s">
        <v>64</v>
      </c>
      <c r="G100">
        <v>6</v>
      </c>
      <c r="H100" t="s">
        <v>47</v>
      </c>
    </row>
    <row r="101" spans="1:8" x14ac:dyDescent="0.25">
      <c r="A101" t="s">
        <v>150</v>
      </c>
      <c r="B101" t="s">
        <v>20</v>
      </c>
      <c r="C101" t="s">
        <v>49</v>
      </c>
      <c r="D101" t="s">
        <v>39</v>
      </c>
      <c r="E101" s="1">
        <v>45663</v>
      </c>
      <c r="F101" t="s">
        <v>46</v>
      </c>
      <c r="G101">
        <v>10</v>
      </c>
      <c r="H101" t="s">
        <v>57</v>
      </c>
    </row>
    <row r="102" spans="1:8" x14ac:dyDescent="0.25">
      <c r="A102" t="s">
        <v>151</v>
      </c>
      <c r="B102" t="s">
        <v>17</v>
      </c>
      <c r="C102" t="s">
        <v>49</v>
      </c>
      <c r="D102" t="s">
        <v>39</v>
      </c>
      <c r="E102" s="1">
        <v>45660</v>
      </c>
      <c r="F102" t="s">
        <v>64</v>
      </c>
      <c r="G102">
        <v>3</v>
      </c>
      <c r="H102" t="s">
        <v>57</v>
      </c>
    </row>
    <row r="103" spans="1:8" x14ac:dyDescent="0.25">
      <c r="A103" t="s">
        <v>152</v>
      </c>
      <c r="B103" t="s">
        <v>13</v>
      </c>
      <c r="C103" t="s">
        <v>33</v>
      </c>
      <c r="D103" t="s">
        <v>39</v>
      </c>
      <c r="E103" s="1">
        <v>45669</v>
      </c>
      <c r="F103" t="s">
        <v>46</v>
      </c>
      <c r="G103">
        <v>2</v>
      </c>
      <c r="H103" t="s">
        <v>60</v>
      </c>
    </row>
    <row r="104" spans="1:8" x14ac:dyDescent="0.25">
      <c r="A104" t="s">
        <v>153</v>
      </c>
      <c r="B104" t="s">
        <v>16</v>
      </c>
      <c r="C104" t="s">
        <v>38</v>
      </c>
      <c r="D104" t="s">
        <v>52</v>
      </c>
      <c r="E104" s="1">
        <v>45664</v>
      </c>
      <c r="F104" t="s">
        <v>40</v>
      </c>
      <c r="G104">
        <v>4</v>
      </c>
      <c r="H104" t="s">
        <v>57</v>
      </c>
    </row>
    <row r="105" spans="1:8" x14ac:dyDescent="0.25">
      <c r="A105" t="s">
        <v>154</v>
      </c>
      <c r="B105" t="s">
        <v>13</v>
      </c>
      <c r="C105" t="s">
        <v>33</v>
      </c>
      <c r="D105" t="s">
        <v>52</v>
      </c>
      <c r="E105" s="1">
        <v>45664</v>
      </c>
      <c r="F105" t="s">
        <v>62</v>
      </c>
      <c r="G105">
        <v>7</v>
      </c>
      <c r="H105" t="s">
        <v>60</v>
      </c>
    </row>
    <row r="106" spans="1:8" x14ac:dyDescent="0.25">
      <c r="A106" t="s">
        <v>155</v>
      </c>
      <c r="B106" t="s">
        <v>24</v>
      </c>
      <c r="C106" t="s">
        <v>38</v>
      </c>
      <c r="D106" t="s">
        <v>52</v>
      </c>
      <c r="E106" s="1">
        <v>45658</v>
      </c>
      <c r="F106" t="s">
        <v>64</v>
      </c>
      <c r="G106">
        <v>9</v>
      </c>
      <c r="H106" t="s">
        <v>36</v>
      </c>
    </row>
    <row r="107" spans="1:8" x14ac:dyDescent="0.25">
      <c r="A107" t="s">
        <v>156</v>
      </c>
      <c r="B107" t="s">
        <v>19</v>
      </c>
      <c r="C107" t="s">
        <v>38</v>
      </c>
      <c r="D107" t="s">
        <v>52</v>
      </c>
      <c r="E107" s="1">
        <v>45676</v>
      </c>
      <c r="F107" t="s">
        <v>35</v>
      </c>
      <c r="G107">
        <v>1</v>
      </c>
      <c r="H107" t="s">
        <v>57</v>
      </c>
    </row>
    <row r="108" spans="1:8" x14ac:dyDescent="0.25">
      <c r="A108" t="s">
        <v>157</v>
      </c>
      <c r="B108" t="s">
        <v>13</v>
      </c>
      <c r="C108" t="s">
        <v>45</v>
      </c>
      <c r="D108" t="s">
        <v>39</v>
      </c>
      <c r="E108" s="1">
        <v>45676</v>
      </c>
      <c r="F108" t="s">
        <v>64</v>
      </c>
      <c r="G108">
        <v>4</v>
      </c>
      <c r="H108" t="s">
        <v>57</v>
      </c>
    </row>
    <row r="109" spans="1:8" x14ac:dyDescent="0.25">
      <c r="A109" t="s">
        <v>158</v>
      </c>
      <c r="B109" t="s">
        <v>16</v>
      </c>
      <c r="C109" t="s">
        <v>33</v>
      </c>
      <c r="D109" t="s">
        <v>34</v>
      </c>
      <c r="E109" s="1">
        <v>45659</v>
      </c>
      <c r="F109" t="s">
        <v>62</v>
      </c>
      <c r="G109">
        <v>7</v>
      </c>
      <c r="H109" t="s">
        <v>60</v>
      </c>
    </row>
    <row r="110" spans="1:8" x14ac:dyDescent="0.25">
      <c r="A110" t="s">
        <v>159</v>
      </c>
      <c r="B110" t="s">
        <v>20</v>
      </c>
      <c r="C110" t="s">
        <v>38</v>
      </c>
      <c r="D110" t="s">
        <v>34</v>
      </c>
      <c r="E110" s="1">
        <v>45667</v>
      </c>
      <c r="F110" t="s">
        <v>62</v>
      </c>
      <c r="G110">
        <v>1</v>
      </c>
      <c r="H110" t="s">
        <v>60</v>
      </c>
    </row>
    <row r="111" spans="1:8" x14ac:dyDescent="0.25">
      <c r="A111" t="s">
        <v>160</v>
      </c>
      <c r="B111" t="s">
        <v>20</v>
      </c>
      <c r="C111" t="s">
        <v>38</v>
      </c>
      <c r="D111" t="s">
        <v>42</v>
      </c>
      <c r="E111" s="1">
        <v>45668</v>
      </c>
      <c r="F111" t="s">
        <v>62</v>
      </c>
      <c r="G111">
        <v>1</v>
      </c>
      <c r="H111" t="s">
        <v>36</v>
      </c>
    </row>
    <row r="112" spans="1:8" x14ac:dyDescent="0.25">
      <c r="A112" t="s">
        <v>161</v>
      </c>
      <c r="B112" t="s">
        <v>24</v>
      </c>
      <c r="C112" t="s">
        <v>33</v>
      </c>
      <c r="D112" t="s">
        <v>42</v>
      </c>
      <c r="E112" s="1">
        <v>45675</v>
      </c>
      <c r="F112" t="s">
        <v>40</v>
      </c>
      <c r="G112">
        <v>5</v>
      </c>
      <c r="H112" t="s">
        <v>60</v>
      </c>
    </row>
    <row r="113" spans="1:8" x14ac:dyDescent="0.25">
      <c r="A113" t="s">
        <v>162</v>
      </c>
      <c r="B113" t="s">
        <v>23</v>
      </c>
      <c r="C113" t="s">
        <v>33</v>
      </c>
      <c r="D113" t="s">
        <v>52</v>
      </c>
      <c r="E113" s="1">
        <v>45669</v>
      </c>
      <c r="F113" t="s">
        <v>35</v>
      </c>
      <c r="G113">
        <v>2</v>
      </c>
      <c r="H113" t="s">
        <v>36</v>
      </c>
    </row>
    <row r="114" spans="1:8" x14ac:dyDescent="0.25">
      <c r="A114" t="s">
        <v>163</v>
      </c>
      <c r="B114" t="s">
        <v>17</v>
      </c>
      <c r="C114" t="s">
        <v>33</v>
      </c>
      <c r="D114" t="s">
        <v>34</v>
      </c>
      <c r="E114" s="1">
        <v>45661</v>
      </c>
      <c r="F114" t="s">
        <v>35</v>
      </c>
      <c r="G114">
        <v>5</v>
      </c>
      <c r="H114" t="s">
        <v>60</v>
      </c>
    </row>
    <row r="115" spans="1:8" x14ac:dyDescent="0.25">
      <c r="A115" t="s">
        <v>164</v>
      </c>
      <c r="B115" t="s">
        <v>23</v>
      </c>
      <c r="C115" t="s">
        <v>45</v>
      </c>
      <c r="D115" t="s">
        <v>50</v>
      </c>
      <c r="E115" s="1">
        <v>45658</v>
      </c>
      <c r="F115" t="s">
        <v>35</v>
      </c>
      <c r="G115">
        <v>4</v>
      </c>
      <c r="H115" t="s">
        <v>60</v>
      </c>
    </row>
    <row r="116" spans="1:8" x14ac:dyDescent="0.25">
      <c r="A116" t="s">
        <v>165</v>
      </c>
      <c r="B116" t="s">
        <v>10</v>
      </c>
      <c r="C116" t="s">
        <v>45</v>
      </c>
      <c r="D116" t="s">
        <v>52</v>
      </c>
      <c r="E116" s="1">
        <v>45665</v>
      </c>
      <c r="F116" t="s">
        <v>64</v>
      </c>
      <c r="G116">
        <v>7</v>
      </c>
      <c r="H116" t="s">
        <v>47</v>
      </c>
    </row>
    <row r="117" spans="1:8" x14ac:dyDescent="0.25">
      <c r="A117" t="s">
        <v>166</v>
      </c>
      <c r="B117" t="s">
        <v>17</v>
      </c>
      <c r="C117" t="s">
        <v>49</v>
      </c>
      <c r="D117" t="s">
        <v>52</v>
      </c>
      <c r="E117" s="1">
        <v>45660</v>
      </c>
      <c r="F117" t="s">
        <v>35</v>
      </c>
      <c r="G117">
        <v>10</v>
      </c>
      <c r="H117" t="s">
        <v>47</v>
      </c>
    </row>
    <row r="118" spans="1:8" x14ac:dyDescent="0.25">
      <c r="A118" t="s">
        <v>167</v>
      </c>
      <c r="B118" t="s">
        <v>23</v>
      </c>
      <c r="C118" t="s">
        <v>49</v>
      </c>
      <c r="D118" t="s">
        <v>52</v>
      </c>
      <c r="E118" s="1">
        <v>45674</v>
      </c>
      <c r="F118" t="s">
        <v>40</v>
      </c>
      <c r="G118">
        <v>7</v>
      </c>
      <c r="H118" t="s">
        <v>47</v>
      </c>
    </row>
    <row r="119" spans="1:8" x14ac:dyDescent="0.25">
      <c r="A119" t="s">
        <v>168</v>
      </c>
      <c r="B119" t="s">
        <v>19</v>
      </c>
      <c r="C119" t="s">
        <v>38</v>
      </c>
      <c r="D119" t="s">
        <v>34</v>
      </c>
      <c r="E119" s="1">
        <v>45665</v>
      </c>
      <c r="F119" t="s">
        <v>62</v>
      </c>
      <c r="G119">
        <v>9</v>
      </c>
      <c r="H119" t="s">
        <v>60</v>
      </c>
    </row>
    <row r="120" spans="1:8" x14ac:dyDescent="0.25">
      <c r="A120" t="s">
        <v>169</v>
      </c>
      <c r="B120" t="s">
        <v>6</v>
      </c>
      <c r="C120" t="s">
        <v>45</v>
      </c>
      <c r="D120" t="s">
        <v>52</v>
      </c>
      <c r="E120" s="1">
        <v>45666</v>
      </c>
      <c r="F120" t="s">
        <v>46</v>
      </c>
      <c r="G120">
        <v>9</v>
      </c>
      <c r="H120" t="s">
        <v>36</v>
      </c>
    </row>
    <row r="121" spans="1:8" x14ac:dyDescent="0.25">
      <c r="A121" t="s">
        <v>170</v>
      </c>
      <c r="B121" t="s">
        <v>16</v>
      </c>
      <c r="C121" t="s">
        <v>38</v>
      </c>
      <c r="D121" t="s">
        <v>50</v>
      </c>
      <c r="E121" s="1">
        <v>45661</v>
      </c>
      <c r="F121" t="s">
        <v>35</v>
      </c>
      <c r="G121">
        <v>6</v>
      </c>
      <c r="H121" t="s">
        <v>36</v>
      </c>
    </row>
    <row r="122" spans="1:8" x14ac:dyDescent="0.25">
      <c r="A122" t="s">
        <v>171</v>
      </c>
      <c r="B122" t="s">
        <v>13</v>
      </c>
      <c r="C122" t="s">
        <v>38</v>
      </c>
      <c r="D122" t="s">
        <v>42</v>
      </c>
      <c r="E122" s="1">
        <v>45658</v>
      </c>
      <c r="F122" t="s">
        <v>46</v>
      </c>
      <c r="G122">
        <v>6</v>
      </c>
      <c r="H122" t="s">
        <v>47</v>
      </c>
    </row>
    <row r="123" spans="1:8" x14ac:dyDescent="0.25">
      <c r="A123" t="s">
        <v>172</v>
      </c>
      <c r="B123" t="s">
        <v>22</v>
      </c>
      <c r="C123" t="s">
        <v>49</v>
      </c>
      <c r="D123" t="s">
        <v>52</v>
      </c>
      <c r="E123" s="1">
        <v>45660</v>
      </c>
      <c r="F123" t="s">
        <v>62</v>
      </c>
      <c r="G123">
        <v>8</v>
      </c>
      <c r="H123" t="s">
        <v>36</v>
      </c>
    </row>
    <row r="124" spans="1:8" x14ac:dyDescent="0.25">
      <c r="A124" t="s">
        <v>173</v>
      </c>
      <c r="B124" t="s">
        <v>6</v>
      </c>
      <c r="C124" t="s">
        <v>38</v>
      </c>
      <c r="D124" t="s">
        <v>50</v>
      </c>
      <c r="E124" s="1">
        <v>45668</v>
      </c>
      <c r="F124" t="s">
        <v>62</v>
      </c>
      <c r="G124">
        <v>7</v>
      </c>
      <c r="H124" t="s">
        <v>36</v>
      </c>
    </row>
    <row r="125" spans="1:8" x14ac:dyDescent="0.25">
      <c r="A125" t="s">
        <v>174</v>
      </c>
      <c r="B125" t="s">
        <v>6</v>
      </c>
      <c r="C125" t="s">
        <v>49</v>
      </c>
      <c r="D125" t="s">
        <v>42</v>
      </c>
      <c r="E125" s="1">
        <v>45662</v>
      </c>
      <c r="F125" t="s">
        <v>62</v>
      </c>
      <c r="G125">
        <v>10</v>
      </c>
      <c r="H125" t="s">
        <v>47</v>
      </c>
    </row>
    <row r="126" spans="1:8" x14ac:dyDescent="0.25">
      <c r="A126" t="s">
        <v>175</v>
      </c>
      <c r="B126" t="s">
        <v>17</v>
      </c>
      <c r="C126" t="s">
        <v>49</v>
      </c>
      <c r="D126" t="s">
        <v>39</v>
      </c>
      <c r="E126" s="1">
        <v>45660</v>
      </c>
      <c r="F126" t="s">
        <v>46</v>
      </c>
      <c r="G126">
        <v>4</v>
      </c>
      <c r="H126" t="s">
        <v>60</v>
      </c>
    </row>
    <row r="127" spans="1:8" x14ac:dyDescent="0.25">
      <c r="A127" t="s">
        <v>176</v>
      </c>
      <c r="B127" t="s">
        <v>23</v>
      </c>
      <c r="C127" t="s">
        <v>38</v>
      </c>
      <c r="D127" t="s">
        <v>52</v>
      </c>
      <c r="E127" s="1">
        <v>45665</v>
      </c>
      <c r="F127" t="s">
        <v>46</v>
      </c>
      <c r="G127">
        <v>8</v>
      </c>
      <c r="H127" t="s">
        <v>36</v>
      </c>
    </row>
    <row r="128" spans="1:8" x14ac:dyDescent="0.25">
      <c r="A128" t="s">
        <v>177</v>
      </c>
      <c r="B128" t="s">
        <v>19</v>
      </c>
      <c r="C128" t="s">
        <v>45</v>
      </c>
      <c r="D128" t="s">
        <v>50</v>
      </c>
      <c r="E128" s="1">
        <v>45672</v>
      </c>
      <c r="F128" t="s">
        <v>35</v>
      </c>
      <c r="G128">
        <v>7</v>
      </c>
      <c r="H128" t="s">
        <v>47</v>
      </c>
    </row>
    <row r="129" spans="1:8" x14ac:dyDescent="0.25">
      <c r="A129" t="s">
        <v>178</v>
      </c>
      <c r="B129" t="s">
        <v>24</v>
      </c>
      <c r="C129" t="s">
        <v>45</v>
      </c>
      <c r="D129" t="s">
        <v>42</v>
      </c>
      <c r="E129" s="1">
        <v>45669</v>
      </c>
      <c r="F129" t="s">
        <v>62</v>
      </c>
      <c r="G129">
        <v>1</v>
      </c>
      <c r="H129" t="s">
        <v>57</v>
      </c>
    </row>
    <row r="130" spans="1:8" x14ac:dyDescent="0.25">
      <c r="A130" t="s">
        <v>179</v>
      </c>
      <c r="B130" t="s">
        <v>10</v>
      </c>
      <c r="C130" t="s">
        <v>45</v>
      </c>
      <c r="D130" t="s">
        <v>50</v>
      </c>
      <c r="E130" s="1">
        <v>45674</v>
      </c>
      <c r="F130" t="s">
        <v>46</v>
      </c>
      <c r="G130">
        <v>5</v>
      </c>
      <c r="H130" t="s">
        <v>57</v>
      </c>
    </row>
    <row r="131" spans="1:8" x14ac:dyDescent="0.25">
      <c r="A131" t="s">
        <v>180</v>
      </c>
      <c r="B131" t="s">
        <v>17</v>
      </c>
      <c r="C131" t="s">
        <v>49</v>
      </c>
      <c r="D131" t="s">
        <v>34</v>
      </c>
      <c r="E131" s="1">
        <v>45673</v>
      </c>
      <c r="F131" t="s">
        <v>43</v>
      </c>
      <c r="G131">
        <v>10</v>
      </c>
      <c r="H131" t="s">
        <v>60</v>
      </c>
    </row>
    <row r="132" spans="1:8" x14ac:dyDescent="0.25">
      <c r="A132" t="s">
        <v>181</v>
      </c>
      <c r="B132" t="s">
        <v>10</v>
      </c>
      <c r="C132" t="s">
        <v>33</v>
      </c>
      <c r="D132" t="s">
        <v>34</v>
      </c>
      <c r="E132" s="1">
        <v>45664</v>
      </c>
      <c r="F132" t="s">
        <v>40</v>
      </c>
      <c r="G132">
        <v>9</v>
      </c>
      <c r="H132" t="s">
        <v>36</v>
      </c>
    </row>
    <row r="133" spans="1:8" x14ac:dyDescent="0.25">
      <c r="A133" t="s">
        <v>182</v>
      </c>
      <c r="B133" t="s">
        <v>24</v>
      </c>
      <c r="C133" t="s">
        <v>45</v>
      </c>
      <c r="D133" t="s">
        <v>39</v>
      </c>
      <c r="E133" s="1">
        <v>45664</v>
      </c>
      <c r="F133" t="s">
        <v>35</v>
      </c>
      <c r="G133">
        <v>6</v>
      </c>
      <c r="H133" t="s">
        <v>47</v>
      </c>
    </row>
    <row r="134" spans="1:8" x14ac:dyDescent="0.25">
      <c r="A134" t="s">
        <v>183</v>
      </c>
      <c r="B134" t="s">
        <v>23</v>
      </c>
      <c r="C134" t="s">
        <v>49</v>
      </c>
      <c r="D134" t="s">
        <v>50</v>
      </c>
      <c r="E134" s="1">
        <v>45671</v>
      </c>
      <c r="F134" t="s">
        <v>64</v>
      </c>
      <c r="G134">
        <v>9</v>
      </c>
      <c r="H134" t="s">
        <v>36</v>
      </c>
    </row>
    <row r="135" spans="1:8" x14ac:dyDescent="0.25">
      <c r="A135" t="s">
        <v>184</v>
      </c>
      <c r="B135" t="s">
        <v>24</v>
      </c>
      <c r="C135" t="s">
        <v>49</v>
      </c>
      <c r="D135" t="s">
        <v>52</v>
      </c>
      <c r="E135" s="1">
        <v>45664</v>
      </c>
      <c r="F135" t="s">
        <v>43</v>
      </c>
      <c r="G135">
        <v>7</v>
      </c>
      <c r="H135" t="s">
        <v>47</v>
      </c>
    </row>
    <row r="136" spans="1:8" x14ac:dyDescent="0.25">
      <c r="A136" t="s">
        <v>185</v>
      </c>
      <c r="B136" t="s">
        <v>13</v>
      </c>
      <c r="C136" t="s">
        <v>45</v>
      </c>
      <c r="D136" t="s">
        <v>50</v>
      </c>
      <c r="E136" s="1">
        <v>45662</v>
      </c>
      <c r="F136" t="s">
        <v>43</v>
      </c>
      <c r="G136">
        <v>9</v>
      </c>
      <c r="H136" t="s">
        <v>36</v>
      </c>
    </row>
    <row r="137" spans="1:8" x14ac:dyDescent="0.25">
      <c r="A137" t="s">
        <v>186</v>
      </c>
      <c r="B137" t="s">
        <v>13</v>
      </c>
      <c r="C137" t="s">
        <v>38</v>
      </c>
      <c r="D137" t="s">
        <v>42</v>
      </c>
      <c r="E137" s="1">
        <v>45676</v>
      </c>
      <c r="F137" t="s">
        <v>40</v>
      </c>
      <c r="G137">
        <v>2</v>
      </c>
      <c r="H137" t="s">
        <v>57</v>
      </c>
    </row>
    <row r="138" spans="1:8" x14ac:dyDescent="0.25">
      <c r="A138" t="s">
        <v>187</v>
      </c>
      <c r="B138" t="s">
        <v>10</v>
      </c>
      <c r="C138" t="s">
        <v>45</v>
      </c>
      <c r="D138" t="s">
        <v>42</v>
      </c>
      <c r="E138" s="1">
        <v>45676</v>
      </c>
      <c r="F138" t="s">
        <v>35</v>
      </c>
      <c r="G138">
        <v>8</v>
      </c>
      <c r="H138" t="s">
        <v>57</v>
      </c>
    </row>
    <row r="139" spans="1:8" x14ac:dyDescent="0.25">
      <c r="A139" t="s">
        <v>188</v>
      </c>
      <c r="B139" t="s">
        <v>24</v>
      </c>
      <c r="C139" t="s">
        <v>49</v>
      </c>
      <c r="D139" t="s">
        <v>39</v>
      </c>
      <c r="E139" s="1">
        <v>45677</v>
      </c>
      <c r="F139" t="s">
        <v>46</v>
      </c>
      <c r="G139">
        <v>10</v>
      </c>
      <c r="H139" t="s">
        <v>57</v>
      </c>
    </row>
    <row r="140" spans="1:8" x14ac:dyDescent="0.25">
      <c r="A140" t="s">
        <v>189</v>
      </c>
      <c r="B140" t="s">
        <v>20</v>
      </c>
      <c r="C140" t="s">
        <v>49</v>
      </c>
      <c r="D140" t="s">
        <v>39</v>
      </c>
      <c r="E140" s="1">
        <v>45672</v>
      </c>
      <c r="F140" t="s">
        <v>64</v>
      </c>
      <c r="G140">
        <v>4</v>
      </c>
      <c r="H140" t="s">
        <v>60</v>
      </c>
    </row>
    <row r="141" spans="1:8" x14ac:dyDescent="0.25">
      <c r="A141" t="s">
        <v>190</v>
      </c>
      <c r="B141" t="s">
        <v>19</v>
      </c>
      <c r="C141" t="s">
        <v>45</v>
      </c>
      <c r="D141" t="s">
        <v>52</v>
      </c>
      <c r="E141" s="1">
        <v>45667</v>
      </c>
      <c r="F141" t="s">
        <v>46</v>
      </c>
      <c r="G141">
        <v>7</v>
      </c>
      <c r="H141" t="s">
        <v>60</v>
      </c>
    </row>
    <row r="142" spans="1:8" x14ac:dyDescent="0.25">
      <c r="A142" t="s">
        <v>191</v>
      </c>
      <c r="B142" t="s">
        <v>20</v>
      </c>
      <c r="C142" t="s">
        <v>49</v>
      </c>
      <c r="D142" t="s">
        <v>50</v>
      </c>
      <c r="E142" s="1">
        <v>45669</v>
      </c>
      <c r="F142" t="s">
        <v>62</v>
      </c>
      <c r="G142">
        <v>8</v>
      </c>
      <c r="H142" t="s">
        <v>60</v>
      </c>
    </row>
    <row r="143" spans="1:8" x14ac:dyDescent="0.25">
      <c r="A143" t="s">
        <v>192</v>
      </c>
      <c r="B143" t="s">
        <v>6</v>
      </c>
      <c r="C143" t="s">
        <v>33</v>
      </c>
      <c r="D143" t="s">
        <v>50</v>
      </c>
      <c r="E143" s="1">
        <v>45672</v>
      </c>
      <c r="F143" t="s">
        <v>43</v>
      </c>
      <c r="G143">
        <v>1</v>
      </c>
      <c r="H143" t="s">
        <v>60</v>
      </c>
    </row>
    <row r="144" spans="1:8" x14ac:dyDescent="0.25">
      <c r="A144" t="s">
        <v>193</v>
      </c>
      <c r="B144" t="s">
        <v>17</v>
      </c>
      <c r="C144" t="s">
        <v>49</v>
      </c>
      <c r="D144" t="s">
        <v>42</v>
      </c>
      <c r="E144" s="1">
        <v>45666</v>
      </c>
      <c r="F144" t="s">
        <v>46</v>
      </c>
      <c r="G144">
        <v>3</v>
      </c>
      <c r="H144" t="s">
        <v>60</v>
      </c>
    </row>
    <row r="145" spans="1:8" x14ac:dyDescent="0.25">
      <c r="A145" t="s">
        <v>194</v>
      </c>
      <c r="B145" t="s">
        <v>20</v>
      </c>
      <c r="C145" t="s">
        <v>33</v>
      </c>
      <c r="D145" t="s">
        <v>34</v>
      </c>
      <c r="E145" s="1">
        <v>45669</v>
      </c>
      <c r="F145" t="s">
        <v>62</v>
      </c>
      <c r="G145">
        <v>5</v>
      </c>
      <c r="H145" t="s">
        <v>36</v>
      </c>
    </row>
    <row r="146" spans="1:8" x14ac:dyDescent="0.25">
      <c r="A146" t="s">
        <v>195</v>
      </c>
      <c r="B146" t="s">
        <v>6</v>
      </c>
      <c r="C146" t="s">
        <v>33</v>
      </c>
      <c r="D146" t="s">
        <v>50</v>
      </c>
      <c r="E146" s="1">
        <v>45659</v>
      </c>
      <c r="F146" t="s">
        <v>46</v>
      </c>
      <c r="G146">
        <v>9</v>
      </c>
      <c r="H146" t="s">
        <v>57</v>
      </c>
    </row>
    <row r="147" spans="1:8" x14ac:dyDescent="0.25">
      <c r="A147" t="s">
        <v>196</v>
      </c>
      <c r="B147" t="s">
        <v>17</v>
      </c>
      <c r="C147" t="s">
        <v>33</v>
      </c>
      <c r="D147" t="s">
        <v>50</v>
      </c>
      <c r="E147" s="1">
        <v>45660</v>
      </c>
      <c r="F147" t="s">
        <v>35</v>
      </c>
      <c r="G147">
        <v>7</v>
      </c>
      <c r="H147" t="s">
        <v>60</v>
      </c>
    </row>
    <row r="148" spans="1:8" x14ac:dyDescent="0.25">
      <c r="A148" t="s">
        <v>197</v>
      </c>
      <c r="B148" t="s">
        <v>19</v>
      </c>
      <c r="C148" t="s">
        <v>49</v>
      </c>
      <c r="D148" t="s">
        <v>52</v>
      </c>
      <c r="E148" s="1">
        <v>45660</v>
      </c>
      <c r="F148" t="s">
        <v>46</v>
      </c>
      <c r="G148">
        <v>9</v>
      </c>
      <c r="H148" t="s">
        <v>36</v>
      </c>
    </row>
    <row r="149" spans="1:8" x14ac:dyDescent="0.25">
      <c r="A149" t="s">
        <v>198</v>
      </c>
      <c r="B149" t="s">
        <v>20</v>
      </c>
      <c r="C149" t="s">
        <v>45</v>
      </c>
      <c r="D149" t="s">
        <v>42</v>
      </c>
      <c r="E149" s="1">
        <v>45666</v>
      </c>
      <c r="F149" t="s">
        <v>35</v>
      </c>
      <c r="G149">
        <v>7</v>
      </c>
      <c r="H149" t="s">
        <v>60</v>
      </c>
    </row>
    <row r="150" spans="1:8" x14ac:dyDescent="0.25">
      <c r="A150" t="s">
        <v>199</v>
      </c>
      <c r="B150" t="s">
        <v>22</v>
      </c>
      <c r="C150" t="s">
        <v>33</v>
      </c>
      <c r="D150" t="s">
        <v>39</v>
      </c>
      <c r="E150" s="1">
        <v>45676</v>
      </c>
      <c r="F150" t="s">
        <v>64</v>
      </c>
      <c r="G150">
        <v>5</v>
      </c>
      <c r="H150" t="s">
        <v>36</v>
      </c>
    </row>
    <row r="151" spans="1:8" x14ac:dyDescent="0.25">
      <c r="A151" t="s">
        <v>200</v>
      </c>
      <c r="B151" t="s">
        <v>20</v>
      </c>
      <c r="C151" t="s">
        <v>38</v>
      </c>
      <c r="D151" t="s">
        <v>50</v>
      </c>
      <c r="E151" s="1">
        <v>45674</v>
      </c>
      <c r="F151" t="s">
        <v>40</v>
      </c>
      <c r="G151">
        <v>6</v>
      </c>
      <c r="H151" t="s">
        <v>47</v>
      </c>
    </row>
    <row r="152" spans="1:8" x14ac:dyDescent="0.25">
      <c r="A152" t="s">
        <v>201</v>
      </c>
      <c r="B152" t="s">
        <v>17</v>
      </c>
      <c r="C152" t="s">
        <v>45</v>
      </c>
      <c r="D152" t="s">
        <v>42</v>
      </c>
      <c r="E152" s="1">
        <v>45669</v>
      </c>
      <c r="F152" t="s">
        <v>46</v>
      </c>
      <c r="G152">
        <v>9</v>
      </c>
      <c r="H152" t="s">
        <v>57</v>
      </c>
    </row>
    <row r="153" spans="1:8" x14ac:dyDescent="0.25">
      <c r="A153" t="s">
        <v>202</v>
      </c>
      <c r="B153" t="s">
        <v>17</v>
      </c>
      <c r="C153" t="s">
        <v>38</v>
      </c>
      <c r="D153" t="s">
        <v>50</v>
      </c>
      <c r="E153" s="1">
        <v>45675</v>
      </c>
      <c r="F153" t="s">
        <v>46</v>
      </c>
      <c r="G153">
        <v>6</v>
      </c>
      <c r="H153" t="s">
        <v>36</v>
      </c>
    </row>
    <row r="154" spans="1:8" x14ac:dyDescent="0.25">
      <c r="A154" t="s">
        <v>203</v>
      </c>
      <c r="B154" t="s">
        <v>13</v>
      </c>
      <c r="C154" t="s">
        <v>45</v>
      </c>
      <c r="D154" t="s">
        <v>52</v>
      </c>
      <c r="E154" s="1">
        <v>45660</v>
      </c>
      <c r="F154" t="s">
        <v>64</v>
      </c>
      <c r="G154">
        <v>9</v>
      </c>
      <c r="H154" t="s">
        <v>57</v>
      </c>
    </row>
    <row r="155" spans="1:8" x14ac:dyDescent="0.25">
      <c r="A155" t="s">
        <v>204</v>
      </c>
      <c r="B155" t="s">
        <v>6</v>
      </c>
      <c r="C155" t="s">
        <v>38</v>
      </c>
      <c r="D155" t="s">
        <v>42</v>
      </c>
      <c r="E155" s="1">
        <v>45666</v>
      </c>
      <c r="F155" t="s">
        <v>62</v>
      </c>
      <c r="G155">
        <v>1</v>
      </c>
      <c r="H155" t="s">
        <v>60</v>
      </c>
    </row>
    <row r="156" spans="1:8" x14ac:dyDescent="0.25">
      <c r="A156" t="s">
        <v>205</v>
      </c>
      <c r="B156" t="s">
        <v>22</v>
      </c>
      <c r="C156" t="s">
        <v>33</v>
      </c>
      <c r="D156" t="s">
        <v>34</v>
      </c>
      <c r="E156" s="1">
        <v>45671</v>
      </c>
      <c r="F156" t="s">
        <v>40</v>
      </c>
      <c r="G156">
        <v>6</v>
      </c>
      <c r="H156" t="s">
        <v>60</v>
      </c>
    </row>
    <row r="157" spans="1:8" x14ac:dyDescent="0.25">
      <c r="A157" t="s">
        <v>206</v>
      </c>
      <c r="B157" t="s">
        <v>10</v>
      </c>
      <c r="C157" t="s">
        <v>33</v>
      </c>
      <c r="D157" t="s">
        <v>42</v>
      </c>
      <c r="E157" s="1">
        <v>45660</v>
      </c>
      <c r="F157" t="s">
        <v>43</v>
      </c>
      <c r="G157">
        <v>5</v>
      </c>
      <c r="H157" t="s">
        <v>47</v>
      </c>
    </row>
    <row r="158" spans="1:8" x14ac:dyDescent="0.25">
      <c r="A158" t="s">
        <v>207</v>
      </c>
      <c r="B158" t="s">
        <v>17</v>
      </c>
      <c r="C158" t="s">
        <v>49</v>
      </c>
      <c r="D158" t="s">
        <v>34</v>
      </c>
      <c r="E158" s="1">
        <v>45664</v>
      </c>
      <c r="F158" t="s">
        <v>46</v>
      </c>
      <c r="G158">
        <v>7</v>
      </c>
      <c r="H158" t="s">
        <v>36</v>
      </c>
    </row>
    <row r="159" spans="1:8" x14ac:dyDescent="0.25">
      <c r="A159" t="s">
        <v>208</v>
      </c>
      <c r="B159" t="s">
        <v>16</v>
      </c>
      <c r="C159" t="s">
        <v>33</v>
      </c>
      <c r="D159" t="s">
        <v>39</v>
      </c>
      <c r="E159" s="1">
        <v>45670</v>
      </c>
      <c r="F159" t="s">
        <v>62</v>
      </c>
      <c r="G159">
        <v>3</v>
      </c>
      <c r="H159" t="s">
        <v>47</v>
      </c>
    </row>
    <row r="160" spans="1:8" x14ac:dyDescent="0.25">
      <c r="A160" t="s">
        <v>209</v>
      </c>
      <c r="B160" t="s">
        <v>13</v>
      </c>
      <c r="C160" t="s">
        <v>49</v>
      </c>
      <c r="D160" t="s">
        <v>39</v>
      </c>
      <c r="E160" s="1">
        <v>45675</v>
      </c>
      <c r="F160" t="s">
        <v>64</v>
      </c>
      <c r="G160">
        <v>1</v>
      </c>
      <c r="H160" t="s">
        <v>36</v>
      </c>
    </row>
    <row r="161" spans="1:8" x14ac:dyDescent="0.25">
      <c r="A161" t="s">
        <v>210</v>
      </c>
      <c r="B161" t="s">
        <v>19</v>
      </c>
      <c r="C161" t="s">
        <v>33</v>
      </c>
      <c r="D161" t="s">
        <v>42</v>
      </c>
      <c r="E161" s="1">
        <v>45670</v>
      </c>
      <c r="F161" t="s">
        <v>43</v>
      </c>
      <c r="G161">
        <v>6</v>
      </c>
      <c r="H161" t="s">
        <v>47</v>
      </c>
    </row>
    <row r="162" spans="1:8" x14ac:dyDescent="0.25">
      <c r="A162" t="s">
        <v>211</v>
      </c>
      <c r="B162" t="s">
        <v>20</v>
      </c>
      <c r="C162" t="s">
        <v>33</v>
      </c>
      <c r="D162" t="s">
        <v>34</v>
      </c>
      <c r="E162" s="1">
        <v>45674</v>
      </c>
      <c r="F162" t="s">
        <v>35</v>
      </c>
      <c r="G162">
        <v>8</v>
      </c>
      <c r="H162" t="s">
        <v>36</v>
      </c>
    </row>
    <row r="163" spans="1:8" x14ac:dyDescent="0.25">
      <c r="A163" t="s">
        <v>212</v>
      </c>
      <c r="B163" t="s">
        <v>20</v>
      </c>
      <c r="C163" t="s">
        <v>33</v>
      </c>
      <c r="D163" t="s">
        <v>34</v>
      </c>
      <c r="E163" s="1">
        <v>45672</v>
      </c>
      <c r="F163" t="s">
        <v>46</v>
      </c>
      <c r="G163">
        <v>2</v>
      </c>
      <c r="H163" t="s">
        <v>57</v>
      </c>
    </row>
    <row r="164" spans="1:8" x14ac:dyDescent="0.25">
      <c r="A164" t="s">
        <v>213</v>
      </c>
      <c r="B164" t="s">
        <v>13</v>
      </c>
      <c r="C164" t="s">
        <v>38</v>
      </c>
      <c r="D164" t="s">
        <v>50</v>
      </c>
      <c r="E164" s="1">
        <v>45659</v>
      </c>
      <c r="F164" t="s">
        <v>62</v>
      </c>
      <c r="G164">
        <v>4</v>
      </c>
      <c r="H164" t="s">
        <v>60</v>
      </c>
    </row>
    <row r="165" spans="1:8" x14ac:dyDescent="0.25">
      <c r="A165" t="s">
        <v>214</v>
      </c>
      <c r="B165" t="s">
        <v>20</v>
      </c>
      <c r="C165" t="s">
        <v>38</v>
      </c>
      <c r="D165" t="s">
        <v>50</v>
      </c>
      <c r="E165" s="1">
        <v>45669</v>
      </c>
      <c r="F165" t="s">
        <v>64</v>
      </c>
      <c r="G165">
        <v>5</v>
      </c>
      <c r="H165" t="s">
        <v>57</v>
      </c>
    </row>
    <row r="166" spans="1:8" x14ac:dyDescent="0.25">
      <c r="A166" t="s">
        <v>215</v>
      </c>
      <c r="B166" t="s">
        <v>16</v>
      </c>
      <c r="C166" t="s">
        <v>33</v>
      </c>
      <c r="D166" t="s">
        <v>42</v>
      </c>
      <c r="E166" s="1">
        <v>45673</v>
      </c>
      <c r="F166" t="s">
        <v>35</v>
      </c>
      <c r="G166">
        <v>5</v>
      </c>
      <c r="H166" t="s">
        <v>36</v>
      </c>
    </row>
    <row r="167" spans="1:8" x14ac:dyDescent="0.25">
      <c r="A167" t="s">
        <v>216</v>
      </c>
      <c r="B167" t="s">
        <v>13</v>
      </c>
      <c r="C167" t="s">
        <v>33</v>
      </c>
      <c r="D167" t="s">
        <v>34</v>
      </c>
      <c r="E167" s="1">
        <v>45665</v>
      </c>
      <c r="F167" t="s">
        <v>62</v>
      </c>
      <c r="G167">
        <v>5</v>
      </c>
      <c r="H167" t="s">
        <v>57</v>
      </c>
    </row>
    <row r="168" spans="1:8" x14ac:dyDescent="0.25">
      <c r="A168" t="s">
        <v>217</v>
      </c>
      <c r="B168" t="s">
        <v>19</v>
      </c>
      <c r="C168" t="s">
        <v>49</v>
      </c>
      <c r="D168" t="s">
        <v>39</v>
      </c>
      <c r="E168" s="1">
        <v>45665</v>
      </c>
      <c r="F168" t="s">
        <v>46</v>
      </c>
      <c r="G168">
        <v>7</v>
      </c>
      <c r="H168" t="s">
        <v>57</v>
      </c>
    </row>
    <row r="169" spans="1:8" x14ac:dyDescent="0.25">
      <c r="A169" t="s">
        <v>218</v>
      </c>
      <c r="B169" t="s">
        <v>17</v>
      </c>
      <c r="C169" t="s">
        <v>45</v>
      </c>
      <c r="D169" t="s">
        <v>52</v>
      </c>
      <c r="E169" s="1">
        <v>45661</v>
      </c>
      <c r="F169" t="s">
        <v>35</v>
      </c>
      <c r="G169">
        <v>6</v>
      </c>
      <c r="H169" t="s">
        <v>57</v>
      </c>
    </row>
    <row r="170" spans="1:8" x14ac:dyDescent="0.25">
      <c r="A170" t="s">
        <v>219</v>
      </c>
      <c r="B170" t="s">
        <v>19</v>
      </c>
      <c r="C170" t="s">
        <v>38</v>
      </c>
      <c r="D170" t="s">
        <v>52</v>
      </c>
      <c r="E170" s="1">
        <v>45663</v>
      </c>
      <c r="F170" t="s">
        <v>46</v>
      </c>
      <c r="G170">
        <v>8</v>
      </c>
      <c r="H170" t="s">
        <v>36</v>
      </c>
    </row>
    <row r="171" spans="1:8" x14ac:dyDescent="0.25">
      <c r="A171" t="s">
        <v>220</v>
      </c>
      <c r="B171" t="s">
        <v>16</v>
      </c>
      <c r="C171" t="s">
        <v>38</v>
      </c>
      <c r="D171" t="s">
        <v>52</v>
      </c>
      <c r="E171" s="1">
        <v>45676</v>
      </c>
      <c r="F171" t="s">
        <v>62</v>
      </c>
      <c r="G171">
        <v>6</v>
      </c>
      <c r="H171" t="s">
        <v>36</v>
      </c>
    </row>
    <row r="172" spans="1:8" x14ac:dyDescent="0.25">
      <c r="A172" t="s">
        <v>221</v>
      </c>
      <c r="B172" t="s">
        <v>19</v>
      </c>
      <c r="C172" t="s">
        <v>33</v>
      </c>
      <c r="D172" t="s">
        <v>39</v>
      </c>
      <c r="E172" s="1">
        <v>45674</v>
      </c>
      <c r="F172" t="s">
        <v>43</v>
      </c>
      <c r="G172">
        <v>7</v>
      </c>
      <c r="H172" t="s">
        <v>47</v>
      </c>
    </row>
    <row r="173" spans="1:8" x14ac:dyDescent="0.25">
      <c r="A173" t="s">
        <v>222</v>
      </c>
      <c r="B173" t="s">
        <v>13</v>
      </c>
      <c r="C173" t="s">
        <v>38</v>
      </c>
      <c r="D173" t="s">
        <v>50</v>
      </c>
      <c r="E173" s="1">
        <v>45672</v>
      </c>
      <c r="F173" t="s">
        <v>46</v>
      </c>
      <c r="G173">
        <v>3</v>
      </c>
      <c r="H173" t="s">
        <v>60</v>
      </c>
    </row>
    <row r="174" spans="1:8" x14ac:dyDescent="0.25">
      <c r="A174" t="s">
        <v>223</v>
      </c>
      <c r="B174" t="s">
        <v>13</v>
      </c>
      <c r="C174" t="s">
        <v>45</v>
      </c>
      <c r="D174" t="s">
        <v>34</v>
      </c>
      <c r="E174" s="1">
        <v>45661</v>
      </c>
      <c r="F174" t="s">
        <v>46</v>
      </c>
      <c r="G174">
        <v>8</v>
      </c>
      <c r="H174" t="s">
        <v>36</v>
      </c>
    </row>
    <row r="175" spans="1:8" x14ac:dyDescent="0.25">
      <c r="A175" t="s">
        <v>224</v>
      </c>
      <c r="B175" t="s">
        <v>16</v>
      </c>
      <c r="C175" t="s">
        <v>33</v>
      </c>
      <c r="D175" t="s">
        <v>52</v>
      </c>
      <c r="E175" s="1">
        <v>45662</v>
      </c>
      <c r="F175" t="s">
        <v>64</v>
      </c>
      <c r="G175">
        <v>8</v>
      </c>
      <c r="H175" t="s">
        <v>47</v>
      </c>
    </row>
    <row r="176" spans="1:8" x14ac:dyDescent="0.25">
      <c r="A176" t="s">
        <v>225</v>
      </c>
      <c r="B176" t="s">
        <v>24</v>
      </c>
      <c r="C176" t="s">
        <v>33</v>
      </c>
      <c r="D176" t="s">
        <v>50</v>
      </c>
      <c r="E176" s="1">
        <v>45660</v>
      </c>
      <c r="F176" t="s">
        <v>40</v>
      </c>
      <c r="G176">
        <v>8</v>
      </c>
      <c r="H176" t="s">
        <v>36</v>
      </c>
    </row>
    <row r="177" spans="1:8" x14ac:dyDescent="0.25">
      <c r="A177" t="s">
        <v>226</v>
      </c>
      <c r="B177" t="s">
        <v>10</v>
      </c>
      <c r="C177" t="s">
        <v>38</v>
      </c>
      <c r="D177" t="s">
        <v>39</v>
      </c>
      <c r="E177" s="1">
        <v>45661</v>
      </c>
      <c r="F177" t="s">
        <v>35</v>
      </c>
      <c r="G177">
        <v>5</v>
      </c>
      <c r="H177" t="s">
        <v>60</v>
      </c>
    </row>
    <row r="178" spans="1:8" x14ac:dyDescent="0.25">
      <c r="A178" t="s">
        <v>227</v>
      </c>
      <c r="B178" t="s">
        <v>22</v>
      </c>
      <c r="C178" t="s">
        <v>45</v>
      </c>
      <c r="D178" t="s">
        <v>34</v>
      </c>
      <c r="E178" s="1">
        <v>45671</v>
      </c>
      <c r="F178" t="s">
        <v>43</v>
      </c>
      <c r="G178">
        <v>9</v>
      </c>
      <c r="H178" t="s">
        <v>47</v>
      </c>
    </row>
    <row r="179" spans="1:8" x14ac:dyDescent="0.25">
      <c r="A179" t="s">
        <v>228</v>
      </c>
      <c r="B179" t="s">
        <v>16</v>
      </c>
      <c r="C179" t="s">
        <v>45</v>
      </c>
      <c r="D179" t="s">
        <v>39</v>
      </c>
      <c r="E179" s="1">
        <v>45674</v>
      </c>
      <c r="F179" t="s">
        <v>43</v>
      </c>
      <c r="G179">
        <v>6</v>
      </c>
      <c r="H179" t="s">
        <v>57</v>
      </c>
    </row>
    <row r="180" spans="1:8" x14ac:dyDescent="0.25">
      <c r="A180" t="s">
        <v>229</v>
      </c>
      <c r="B180" t="s">
        <v>23</v>
      </c>
      <c r="C180" t="s">
        <v>38</v>
      </c>
      <c r="D180" t="s">
        <v>52</v>
      </c>
      <c r="E180" s="1">
        <v>45664</v>
      </c>
      <c r="F180" t="s">
        <v>43</v>
      </c>
      <c r="G180">
        <v>3</v>
      </c>
      <c r="H180" t="s">
        <v>60</v>
      </c>
    </row>
    <row r="181" spans="1:8" x14ac:dyDescent="0.25">
      <c r="A181" t="s">
        <v>230</v>
      </c>
      <c r="B181" t="s">
        <v>24</v>
      </c>
      <c r="C181" t="s">
        <v>38</v>
      </c>
      <c r="D181" t="s">
        <v>52</v>
      </c>
      <c r="E181" s="1">
        <v>45672</v>
      </c>
      <c r="F181" t="s">
        <v>40</v>
      </c>
      <c r="G181">
        <v>4</v>
      </c>
      <c r="H181" t="s">
        <v>47</v>
      </c>
    </row>
    <row r="182" spans="1:8" x14ac:dyDescent="0.25">
      <c r="A182" t="s">
        <v>231</v>
      </c>
      <c r="B182" t="s">
        <v>13</v>
      </c>
      <c r="C182" t="s">
        <v>45</v>
      </c>
      <c r="D182" t="s">
        <v>50</v>
      </c>
      <c r="E182" s="1">
        <v>45670</v>
      </c>
      <c r="F182" t="s">
        <v>40</v>
      </c>
      <c r="G182">
        <v>3</v>
      </c>
      <c r="H182" t="s">
        <v>57</v>
      </c>
    </row>
    <row r="183" spans="1:8" x14ac:dyDescent="0.25">
      <c r="A183" t="s">
        <v>232</v>
      </c>
      <c r="B183" t="s">
        <v>10</v>
      </c>
      <c r="C183" t="s">
        <v>49</v>
      </c>
      <c r="D183" t="s">
        <v>42</v>
      </c>
      <c r="E183" s="1">
        <v>45666</v>
      </c>
      <c r="F183" t="s">
        <v>43</v>
      </c>
      <c r="G183">
        <v>7</v>
      </c>
      <c r="H183" t="s">
        <v>47</v>
      </c>
    </row>
    <row r="184" spans="1:8" x14ac:dyDescent="0.25">
      <c r="A184" t="s">
        <v>233</v>
      </c>
      <c r="B184" t="s">
        <v>16</v>
      </c>
      <c r="C184" t="s">
        <v>38</v>
      </c>
      <c r="D184" t="s">
        <v>34</v>
      </c>
      <c r="E184" s="1">
        <v>45660</v>
      </c>
      <c r="F184" t="s">
        <v>43</v>
      </c>
      <c r="G184">
        <v>7</v>
      </c>
      <c r="H184" t="s">
        <v>57</v>
      </c>
    </row>
    <row r="185" spans="1:8" x14ac:dyDescent="0.25">
      <c r="A185" t="s">
        <v>234</v>
      </c>
      <c r="B185" t="s">
        <v>16</v>
      </c>
      <c r="C185" t="s">
        <v>33</v>
      </c>
      <c r="D185" t="s">
        <v>42</v>
      </c>
      <c r="E185" s="1">
        <v>45668</v>
      </c>
      <c r="F185" t="s">
        <v>40</v>
      </c>
      <c r="G185">
        <v>2</v>
      </c>
      <c r="H185" t="s">
        <v>57</v>
      </c>
    </row>
    <row r="186" spans="1:8" x14ac:dyDescent="0.25">
      <c r="A186" t="s">
        <v>235</v>
      </c>
      <c r="B186" t="s">
        <v>24</v>
      </c>
      <c r="C186" t="s">
        <v>45</v>
      </c>
      <c r="D186" t="s">
        <v>42</v>
      </c>
      <c r="E186" s="1">
        <v>45669</v>
      </c>
      <c r="F186" t="s">
        <v>40</v>
      </c>
      <c r="G186">
        <v>9</v>
      </c>
      <c r="H186" t="s">
        <v>47</v>
      </c>
    </row>
    <row r="187" spans="1:8" x14ac:dyDescent="0.25">
      <c r="A187" t="s">
        <v>236</v>
      </c>
      <c r="B187" t="s">
        <v>20</v>
      </c>
      <c r="C187" t="s">
        <v>45</v>
      </c>
      <c r="D187" t="s">
        <v>52</v>
      </c>
      <c r="E187" s="1">
        <v>45666</v>
      </c>
      <c r="F187" t="s">
        <v>43</v>
      </c>
      <c r="G187">
        <v>2</v>
      </c>
      <c r="H187" t="s">
        <v>60</v>
      </c>
    </row>
    <row r="188" spans="1:8" x14ac:dyDescent="0.25">
      <c r="A188" t="s">
        <v>237</v>
      </c>
      <c r="B188" t="s">
        <v>16</v>
      </c>
      <c r="C188" t="s">
        <v>38</v>
      </c>
      <c r="D188" t="s">
        <v>50</v>
      </c>
      <c r="E188" s="1">
        <v>45672</v>
      </c>
      <c r="F188" t="s">
        <v>46</v>
      </c>
      <c r="G188">
        <v>9</v>
      </c>
      <c r="H188" t="s">
        <v>57</v>
      </c>
    </row>
    <row r="189" spans="1:8" x14ac:dyDescent="0.25">
      <c r="A189" t="s">
        <v>238</v>
      </c>
      <c r="B189" t="s">
        <v>19</v>
      </c>
      <c r="C189" t="s">
        <v>38</v>
      </c>
      <c r="D189" t="s">
        <v>39</v>
      </c>
      <c r="E189" s="1">
        <v>45669</v>
      </c>
      <c r="F189" t="s">
        <v>40</v>
      </c>
      <c r="G189">
        <v>3</v>
      </c>
      <c r="H189" t="s">
        <v>36</v>
      </c>
    </row>
    <row r="190" spans="1:8" x14ac:dyDescent="0.25">
      <c r="A190" t="s">
        <v>239</v>
      </c>
      <c r="B190" t="s">
        <v>23</v>
      </c>
      <c r="C190" t="s">
        <v>38</v>
      </c>
      <c r="D190" t="s">
        <v>52</v>
      </c>
      <c r="E190" s="1">
        <v>45671</v>
      </c>
      <c r="F190" t="s">
        <v>35</v>
      </c>
      <c r="G190">
        <v>9</v>
      </c>
      <c r="H190" t="s">
        <v>57</v>
      </c>
    </row>
    <row r="191" spans="1:8" x14ac:dyDescent="0.25">
      <c r="A191" t="s">
        <v>240</v>
      </c>
      <c r="B191" t="s">
        <v>19</v>
      </c>
      <c r="C191" t="s">
        <v>49</v>
      </c>
      <c r="D191" t="s">
        <v>42</v>
      </c>
      <c r="E191" s="1">
        <v>45670</v>
      </c>
      <c r="F191" t="s">
        <v>64</v>
      </c>
      <c r="G191">
        <v>10</v>
      </c>
      <c r="H191" t="s">
        <v>47</v>
      </c>
    </row>
    <row r="192" spans="1:8" x14ac:dyDescent="0.25">
      <c r="A192" t="s">
        <v>241</v>
      </c>
      <c r="B192" t="s">
        <v>24</v>
      </c>
      <c r="C192" t="s">
        <v>49</v>
      </c>
      <c r="D192" t="s">
        <v>50</v>
      </c>
      <c r="E192" s="1">
        <v>45668</v>
      </c>
      <c r="F192" t="s">
        <v>43</v>
      </c>
      <c r="G192">
        <v>4</v>
      </c>
      <c r="H192" t="s">
        <v>60</v>
      </c>
    </row>
    <row r="193" spans="1:8" x14ac:dyDescent="0.25">
      <c r="A193" t="s">
        <v>242</v>
      </c>
      <c r="B193" t="s">
        <v>23</v>
      </c>
      <c r="C193" t="s">
        <v>33</v>
      </c>
      <c r="D193" t="s">
        <v>34</v>
      </c>
      <c r="E193" s="1">
        <v>45669</v>
      </c>
      <c r="F193" t="s">
        <v>64</v>
      </c>
      <c r="G193">
        <v>6</v>
      </c>
      <c r="H193" t="s">
        <v>36</v>
      </c>
    </row>
    <row r="194" spans="1:8" x14ac:dyDescent="0.25">
      <c r="A194" t="s">
        <v>243</v>
      </c>
      <c r="B194" t="s">
        <v>16</v>
      </c>
      <c r="C194" t="s">
        <v>33</v>
      </c>
      <c r="D194" t="s">
        <v>50</v>
      </c>
      <c r="E194" s="1">
        <v>45677</v>
      </c>
      <c r="F194" t="s">
        <v>64</v>
      </c>
      <c r="G194">
        <v>1</v>
      </c>
      <c r="H194" t="s">
        <v>60</v>
      </c>
    </row>
    <row r="195" spans="1:8" x14ac:dyDescent="0.25">
      <c r="A195" t="s">
        <v>244</v>
      </c>
      <c r="B195" t="s">
        <v>17</v>
      </c>
      <c r="C195" t="s">
        <v>33</v>
      </c>
      <c r="D195" t="s">
        <v>52</v>
      </c>
      <c r="E195" s="1">
        <v>45663</v>
      </c>
      <c r="F195" t="s">
        <v>46</v>
      </c>
      <c r="G195">
        <v>6</v>
      </c>
      <c r="H195" t="s">
        <v>47</v>
      </c>
    </row>
    <row r="196" spans="1:8" x14ac:dyDescent="0.25">
      <c r="A196" t="s">
        <v>245</v>
      </c>
      <c r="B196" t="s">
        <v>16</v>
      </c>
      <c r="C196" t="s">
        <v>45</v>
      </c>
      <c r="D196" t="s">
        <v>50</v>
      </c>
      <c r="E196" s="1">
        <v>45660</v>
      </c>
      <c r="F196" t="s">
        <v>40</v>
      </c>
      <c r="G196">
        <v>3</v>
      </c>
      <c r="H196" t="s">
        <v>60</v>
      </c>
    </row>
    <row r="197" spans="1:8" x14ac:dyDescent="0.25">
      <c r="A197" t="s">
        <v>246</v>
      </c>
      <c r="B197" t="s">
        <v>22</v>
      </c>
      <c r="C197" t="s">
        <v>38</v>
      </c>
      <c r="D197" t="s">
        <v>52</v>
      </c>
      <c r="E197" s="1">
        <v>45658</v>
      </c>
      <c r="F197" t="s">
        <v>62</v>
      </c>
      <c r="G197">
        <v>9</v>
      </c>
      <c r="H197" t="s">
        <v>47</v>
      </c>
    </row>
    <row r="198" spans="1:8" x14ac:dyDescent="0.25">
      <c r="A198" t="s">
        <v>247</v>
      </c>
      <c r="B198" t="s">
        <v>6</v>
      </c>
      <c r="C198" t="s">
        <v>33</v>
      </c>
      <c r="D198" t="s">
        <v>34</v>
      </c>
      <c r="E198" s="1">
        <v>45673</v>
      </c>
      <c r="F198" t="s">
        <v>40</v>
      </c>
      <c r="G198">
        <v>5</v>
      </c>
      <c r="H198" t="s">
        <v>57</v>
      </c>
    </row>
    <row r="199" spans="1:8" x14ac:dyDescent="0.25">
      <c r="A199" t="s">
        <v>248</v>
      </c>
      <c r="B199" t="s">
        <v>17</v>
      </c>
      <c r="C199" t="s">
        <v>33</v>
      </c>
      <c r="D199" t="s">
        <v>50</v>
      </c>
      <c r="E199" s="1">
        <v>45658</v>
      </c>
      <c r="F199" t="s">
        <v>62</v>
      </c>
      <c r="G199">
        <v>4</v>
      </c>
      <c r="H199" t="s">
        <v>47</v>
      </c>
    </row>
    <row r="200" spans="1:8" x14ac:dyDescent="0.25">
      <c r="A200" t="s">
        <v>249</v>
      </c>
      <c r="B200" t="s">
        <v>13</v>
      </c>
      <c r="C200" t="s">
        <v>45</v>
      </c>
      <c r="D200" t="s">
        <v>42</v>
      </c>
      <c r="E200" s="1">
        <v>45660</v>
      </c>
      <c r="F200" t="s">
        <v>64</v>
      </c>
      <c r="G200">
        <v>6</v>
      </c>
      <c r="H200" t="s">
        <v>36</v>
      </c>
    </row>
    <row r="201" spans="1:8" x14ac:dyDescent="0.25">
      <c r="A201" t="s">
        <v>250</v>
      </c>
      <c r="B201" t="s">
        <v>16</v>
      </c>
      <c r="C201" t="s">
        <v>49</v>
      </c>
      <c r="D201" t="s">
        <v>34</v>
      </c>
      <c r="E201" s="1">
        <v>45658</v>
      </c>
      <c r="F201" t="s">
        <v>35</v>
      </c>
      <c r="G201">
        <v>8</v>
      </c>
      <c r="H201" t="s">
        <v>36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79"/>
  <sheetViews>
    <sheetView workbookViewId="0">
      <selection activeCell="H8" sqref="H8"/>
    </sheetView>
  </sheetViews>
  <sheetFormatPr defaultRowHeight="15" x14ac:dyDescent="0.25"/>
  <cols>
    <col min="1" max="1" width="12.7109375" customWidth="1"/>
    <col min="2" max="2" width="15" customWidth="1"/>
    <col min="3" max="3" width="11.28515625" customWidth="1"/>
    <col min="4" max="4" width="19.5703125" bestFit="1" customWidth="1"/>
    <col min="5" max="5" width="15" customWidth="1"/>
  </cols>
  <sheetData>
    <row r="1" spans="1:5" x14ac:dyDescent="0.25">
      <c r="A1" t="s">
        <v>251</v>
      </c>
      <c r="B1" t="s">
        <v>25</v>
      </c>
      <c r="C1" t="s">
        <v>26</v>
      </c>
      <c r="D1" t="s">
        <v>252</v>
      </c>
      <c r="E1" t="s">
        <v>253</v>
      </c>
    </row>
    <row r="2" spans="1:5" x14ac:dyDescent="0.25">
      <c r="A2" t="s">
        <v>254</v>
      </c>
      <c r="B2" t="s">
        <v>32</v>
      </c>
      <c r="C2" t="s">
        <v>33</v>
      </c>
      <c r="D2" t="s">
        <v>255</v>
      </c>
      <c r="E2" s="1">
        <v>45676</v>
      </c>
    </row>
    <row r="3" spans="1:5" x14ac:dyDescent="0.25">
      <c r="A3" t="s">
        <v>256</v>
      </c>
      <c r="B3" t="s">
        <v>32</v>
      </c>
      <c r="C3" t="s">
        <v>38</v>
      </c>
      <c r="D3" t="s">
        <v>257</v>
      </c>
      <c r="E3" s="1">
        <v>45682</v>
      </c>
    </row>
    <row r="4" spans="1:5" x14ac:dyDescent="0.25">
      <c r="A4" t="s">
        <v>258</v>
      </c>
      <c r="B4" t="s">
        <v>37</v>
      </c>
      <c r="C4" t="s">
        <v>45</v>
      </c>
      <c r="D4" t="s">
        <v>46</v>
      </c>
      <c r="E4" s="1">
        <v>45686</v>
      </c>
    </row>
    <row r="5" spans="1:5" x14ac:dyDescent="0.25">
      <c r="A5" t="s">
        <v>259</v>
      </c>
      <c r="B5" t="s">
        <v>37</v>
      </c>
      <c r="C5" t="s">
        <v>49</v>
      </c>
      <c r="D5" t="s">
        <v>255</v>
      </c>
      <c r="E5" s="1">
        <v>45687</v>
      </c>
    </row>
    <row r="6" spans="1:5" x14ac:dyDescent="0.25">
      <c r="A6" t="s">
        <v>260</v>
      </c>
      <c r="B6" t="s">
        <v>37</v>
      </c>
      <c r="C6" t="s">
        <v>49</v>
      </c>
      <c r="D6" t="s">
        <v>261</v>
      </c>
      <c r="E6" s="1">
        <v>45688</v>
      </c>
    </row>
    <row r="7" spans="1:5" x14ac:dyDescent="0.25">
      <c r="A7" t="s">
        <v>262</v>
      </c>
      <c r="B7" t="s">
        <v>41</v>
      </c>
      <c r="C7" t="s">
        <v>49</v>
      </c>
      <c r="D7" t="s">
        <v>261</v>
      </c>
      <c r="E7" s="1">
        <v>45679</v>
      </c>
    </row>
    <row r="8" spans="1:5" x14ac:dyDescent="0.25">
      <c r="A8" t="s">
        <v>263</v>
      </c>
      <c r="B8" t="s">
        <v>41</v>
      </c>
      <c r="C8" t="s">
        <v>45</v>
      </c>
      <c r="D8" t="s">
        <v>264</v>
      </c>
      <c r="E8" s="1">
        <v>45675</v>
      </c>
    </row>
    <row r="9" spans="1:5" x14ac:dyDescent="0.25">
      <c r="A9" t="s">
        <v>265</v>
      </c>
      <c r="B9" t="s">
        <v>41</v>
      </c>
      <c r="C9" t="s">
        <v>49</v>
      </c>
      <c r="D9" t="s">
        <v>257</v>
      </c>
      <c r="E9" s="1">
        <v>45678</v>
      </c>
    </row>
    <row r="10" spans="1:5" x14ac:dyDescent="0.25">
      <c r="A10" t="s">
        <v>266</v>
      </c>
      <c r="B10" t="s">
        <v>41</v>
      </c>
      <c r="C10" t="s">
        <v>49</v>
      </c>
      <c r="D10" t="s">
        <v>255</v>
      </c>
      <c r="E10" s="1">
        <v>45670</v>
      </c>
    </row>
    <row r="11" spans="1:5" x14ac:dyDescent="0.25">
      <c r="A11" t="s">
        <v>267</v>
      </c>
      <c r="B11" t="s">
        <v>44</v>
      </c>
      <c r="C11" t="s">
        <v>33</v>
      </c>
      <c r="D11" t="s">
        <v>255</v>
      </c>
      <c r="E11" s="1">
        <v>45677</v>
      </c>
    </row>
    <row r="12" spans="1:5" x14ac:dyDescent="0.25">
      <c r="A12" t="s">
        <v>268</v>
      </c>
      <c r="B12" t="s">
        <v>48</v>
      </c>
      <c r="C12" t="s">
        <v>33</v>
      </c>
      <c r="D12" t="s">
        <v>255</v>
      </c>
      <c r="E12" s="1">
        <v>45670</v>
      </c>
    </row>
    <row r="13" spans="1:5" x14ac:dyDescent="0.25">
      <c r="A13" t="s">
        <v>269</v>
      </c>
      <c r="B13" t="s">
        <v>48</v>
      </c>
      <c r="C13" t="s">
        <v>49</v>
      </c>
      <c r="D13" t="s">
        <v>264</v>
      </c>
      <c r="E13" s="1">
        <v>45681</v>
      </c>
    </row>
    <row r="14" spans="1:5" x14ac:dyDescent="0.25">
      <c r="A14" t="s">
        <v>270</v>
      </c>
      <c r="B14" t="s">
        <v>51</v>
      </c>
      <c r="C14" t="s">
        <v>45</v>
      </c>
      <c r="D14" t="s">
        <v>257</v>
      </c>
      <c r="E14" s="1">
        <v>45664</v>
      </c>
    </row>
    <row r="15" spans="1:5" x14ac:dyDescent="0.25">
      <c r="A15" t="s">
        <v>271</v>
      </c>
      <c r="B15" t="s">
        <v>51</v>
      </c>
      <c r="C15" t="s">
        <v>45</v>
      </c>
      <c r="D15" t="s">
        <v>255</v>
      </c>
      <c r="E15" s="1">
        <v>45670</v>
      </c>
    </row>
    <row r="16" spans="1:5" x14ac:dyDescent="0.25">
      <c r="A16" t="s">
        <v>272</v>
      </c>
      <c r="B16" t="s">
        <v>51</v>
      </c>
      <c r="C16" t="s">
        <v>45</v>
      </c>
      <c r="D16" t="s">
        <v>46</v>
      </c>
      <c r="E16" s="1">
        <v>45661</v>
      </c>
    </row>
    <row r="17" spans="1:5" x14ac:dyDescent="0.25">
      <c r="A17" t="s">
        <v>273</v>
      </c>
      <c r="B17" t="s">
        <v>53</v>
      </c>
      <c r="C17" t="s">
        <v>38</v>
      </c>
      <c r="D17" t="s">
        <v>264</v>
      </c>
      <c r="E17" s="1">
        <v>45675</v>
      </c>
    </row>
    <row r="18" spans="1:5" x14ac:dyDescent="0.25">
      <c r="A18" t="s">
        <v>274</v>
      </c>
      <c r="B18" t="s">
        <v>53</v>
      </c>
      <c r="C18" t="s">
        <v>38</v>
      </c>
      <c r="D18" t="s">
        <v>255</v>
      </c>
      <c r="E18" s="1">
        <v>45678</v>
      </c>
    </row>
    <row r="19" spans="1:5" x14ac:dyDescent="0.25">
      <c r="A19" t="s">
        <v>275</v>
      </c>
      <c r="B19" t="s">
        <v>54</v>
      </c>
      <c r="C19" t="s">
        <v>45</v>
      </c>
      <c r="D19" t="s">
        <v>46</v>
      </c>
      <c r="E19" s="1">
        <v>45687</v>
      </c>
    </row>
    <row r="20" spans="1:5" x14ac:dyDescent="0.25">
      <c r="A20" t="s">
        <v>276</v>
      </c>
      <c r="B20" t="s">
        <v>54</v>
      </c>
      <c r="C20" t="s">
        <v>45</v>
      </c>
      <c r="D20" t="s">
        <v>255</v>
      </c>
      <c r="E20" s="1">
        <v>45681</v>
      </c>
    </row>
    <row r="21" spans="1:5" x14ac:dyDescent="0.25">
      <c r="A21" t="s">
        <v>277</v>
      </c>
      <c r="B21" t="s">
        <v>55</v>
      </c>
      <c r="C21" t="s">
        <v>38</v>
      </c>
      <c r="D21" t="s">
        <v>264</v>
      </c>
      <c r="E21" s="1">
        <v>45673</v>
      </c>
    </row>
    <row r="22" spans="1:5" x14ac:dyDescent="0.25">
      <c r="A22" t="s">
        <v>278</v>
      </c>
      <c r="B22" t="s">
        <v>55</v>
      </c>
      <c r="C22" t="s">
        <v>45</v>
      </c>
      <c r="D22" t="s">
        <v>257</v>
      </c>
      <c r="E22" s="1">
        <v>45666</v>
      </c>
    </row>
    <row r="23" spans="1:5" x14ac:dyDescent="0.25">
      <c r="A23" t="s">
        <v>279</v>
      </c>
      <c r="B23" t="s">
        <v>55</v>
      </c>
      <c r="C23" t="s">
        <v>33</v>
      </c>
      <c r="D23" t="s">
        <v>255</v>
      </c>
      <c r="E23" s="1">
        <v>45669</v>
      </c>
    </row>
    <row r="24" spans="1:5" x14ac:dyDescent="0.25">
      <c r="A24" t="s">
        <v>280</v>
      </c>
      <c r="B24" t="s">
        <v>55</v>
      </c>
      <c r="C24" t="s">
        <v>33</v>
      </c>
      <c r="D24" t="s">
        <v>46</v>
      </c>
      <c r="E24" s="1">
        <v>45676</v>
      </c>
    </row>
    <row r="25" spans="1:5" x14ac:dyDescent="0.25">
      <c r="A25" t="s">
        <v>281</v>
      </c>
      <c r="B25" t="s">
        <v>56</v>
      </c>
      <c r="C25" t="s">
        <v>33</v>
      </c>
      <c r="D25" t="s">
        <v>264</v>
      </c>
      <c r="E25" s="1">
        <v>45686</v>
      </c>
    </row>
    <row r="26" spans="1:5" x14ac:dyDescent="0.25">
      <c r="A26" t="s">
        <v>282</v>
      </c>
      <c r="B26" t="s">
        <v>56</v>
      </c>
      <c r="C26" t="s">
        <v>49</v>
      </c>
      <c r="D26" t="s">
        <v>255</v>
      </c>
      <c r="E26" s="1">
        <v>45680</v>
      </c>
    </row>
    <row r="27" spans="1:5" x14ac:dyDescent="0.25">
      <c r="A27" t="s">
        <v>283</v>
      </c>
      <c r="B27" t="s">
        <v>56</v>
      </c>
      <c r="C27" t="s">
        <v>45</v>
      </c>
      <c r="D27" t="s">
        <v>261</v>
      </c>
      <c r="E27" s="1">
        <v>45677</v>
      </c>
    </row>
    <row r="28" spans="1:5" x14ac:dyDescent="0.25">
      <c r="A28" t="s">
        <v>284</v>
      </c>
      <c r="B28" t="s">
        <v>56</v>
      </c>
      <c r="C28" t="s">
        <v>33</v>
      </c>
      <c r="D28" t="s">
        <v>46</v>
      </c>
      <c r="E28" s="1">
        <v>45682</v>
      </c>
    </row>
    <row r="29" spans="1:5" x14ac:dyDescent="0.25">
      <c r="A29" t="s">
        <v>285</v>
      </c>
      <c r="B29" t="s">
        <v>58</v>
      </c>
      <c r="C29" t="s">
        <v>49</v>
      </c>
      <c r="D29" t="s">
        <v>255</v>
      </c>
      <c r="E29" s="1">
        <v>45692</v>
      </c>
    </row>
    <row r="30" spans="1:5" x14ac:dyDescent="0.25">
      <c r="A30" t="s">
        <v>286</v>
      </c>
      <c r="B30" t="s">
        <v>59</v>
      </c>
      <c r="C30" t="s">
        <v>33</v>
      </c>
      <c r="D30" t="s">
        <v>264</v>
      </c>
      <c r="E30" s="1">
        <v>45666</v>
      </c>
    </row>
    <row r="31" spans="1:5" x14ac:dyDescent="0.25">
      <c r="A31" t="s">
        <v>287</v>
      </c>
      <c r="B31" t="s">
        <v>59</v>
      </c>
      <c r="C31" t="s">
        <v>45</v>
      </c>
      <c r="D31" t="s">
        <v>257</v>
      </c>
      <c r="E31" s="1">
        <v>45677</v>
      </c>
    </row>
    <row r="32" spans="1:5" x14ac:dyDescent="0.25">
      <c r="A32" t="s">
        <v>288</v>
      </c>
      <c r="B32" t="s">
        <v>59</v>
      </c>
      <c r="C32" t="s">
        <v>49</v>
      </c>
      <c r="D32" t="s">
        <v>46</v>
      </c>
      <c r="E32" s="1">
        <v>45674</v>
      </c>
    </row>
    <row r="33" spans="1:5" x14ac:dyDescent="0.25">
      <c r="A33" t="s">
        <v>289</v>
      </c>
      <c r="B33" t="s">
        <v>59</v>
      </c>
      <c r="C33" t="s">
        <v>49</v>
      </c>
      <c r="D33" t="s">
        <v>255</v>
      </c>
      <c r="E33" s="1">
        <v>45671</v>
      </c>
    </row>
    <row r="34" spans="1:5" x14ac:dyDescent="0.25">
      <c r="A34" t="s">
        <v>290</v>
      </c>
      <c r="B34" t="s">
        <v>61</v>
      </c>
      <c r="C34" t="s">
        <v>45</v>
      </c>
      <c r="D34" t="s">
        <v>46</v>
      </c>
      <c r="E34" s="1">
        <v>45682</v>
      </c>
    </row>
    <row r="35" spans="1:5" x14ac:dyDescent="0.25">
      <c r="A35" t="s">
        <v>291</v>
      </c>
      <c r="B35" t="s">
        <v>61</v>
      </c>
      <c r="C35" t="s">
        <v>33</v>
      </c>
      <c r="D35" t="s">
        <v>264</v>
      </c>
      <c r="E35" s="1">
        <v>45690</v>
      </c>
    </row>
    <row r="36" spans="1:5" x14ac:dyDescent="0.25">
      <c r="A36" t="s">
        <v>292</v>
      </c>
      <c r="B36" t="s">
        <v>63</v>
      </c>
      <c r="C36" t="s">
        <v>33</v>
      </c>
      <c r="D36" t="s">
        <v>46</v>
      </c>
      <c r="E36" s="1">
        <v>45679</v>
      </c>
    </row>
    <row r="37" spans="1:5" x14ac:dyDescent="0.25">
      <c r="A37" t="s">
        <v>293</v>
      </c>
      <c r="B37" t="s">
        <v>65</v>
      </c>
      <c r="C37" t="s">
        <v>49</v>
      </c>
      <c r="D37" t="s">
        <v>46</v>
      </c>
      <c r="E37" s="1">
        <v>45691</v>
      </c>
    </row>
    <row r="38" spans="1:5" x14ac:dyDescent="0.25">
      <c r="A38" t="s">
        <v>294</v>
      </c>
      <c r="B38" t="s">
        <v>66</v>
      </c>
      <c r="C38" t="s">
        <v>33</v>
      </c>
      <c r="D38" t="s">
        <v>255</v>
      </c>
      <c r="E38" s="1">
        <v>45683</v>
      </c>
    </row>
    <row r="39" spans="1:5" x14ac:dyDescent="0.25">
      <c r="A39" t="s">
        <v>295</v>
      </c>
      <c r="B39" t="s">
        <v>66</v>
      </c>
      <c r="C39" t="s">
        <v>38</v>
      </c>
      <c r="D39" t="s">
        <v>257</v>
      </c>
      <c r="E39" s="1">
        <v>45676</v>
      </c>
    </row>
    <row r="40" spans="1:5" x14ac:dyDescent="0.25">
      <c r="A40" t="s">
        <v>296</v>
      </c>
      <c r="B40" t="s">
        <v>66</v>
      </c>
      <c r="C40" t="s">
        <v>33</v>
      </c>
      <c r="D40" t="s">
        <v>264</v>
      </c>
      <c r="E40" s="1">
        <v>45672</v>
      </c>
    </row>
    <row r="41" spans="1:5" x14ac:dyDescent="0.25">
      <c r="A41" t="s">
        <v>297</v>
      </c>
      <c r="B41" t="s">
        <v>67</v>
      </c>
      <c r="C41" t="s">
        <v>49</v>
      </c>
      <c r="D41" t="s">
        <v>257</v>
      </c>
      <c r="E41" s="1">
        <v>45666</v>
      </c>
    </row>
    <row r="42" spans="1:5" x14ac:dyDescent="0.25">
      <c r="A42" t="s">
        <v>298</v>
      </c>
      <c r="B42" t="s">
        <v>67</v>
      </c>
      <c r="C42" t="s">
        <v>45</v>
      </c>
      <c r="D42" t="s">
        <v>255</v>
      </c>
      <c r="E42" s="1">
        <v>45662</v>
      </c>
    </row>
    <row r="43" spans="1:5" x14ac:dyDescent="0.25">
      <c r="A43" t="s">
        <v>299</v>
      </c>
      <c r="B43" t="s">
        <v>68</v>
      </c>
      <c r="C43" t="s">
        <v>49</v>
      </c>
      <c r="D43" t="s">
        <v>255</v>
      </c>
      <c r="E43" s="1">
        <v>45672</v>
      </c>
    </row>
    <row r="44" spans="1:5" x14ac:dyDescent="0.25">
      <c r="A44" t="s">
        <v>300</v>
      </c>
      <c r="B44" t="s">
        <v>68</v>
      </c>
      <c r="C44" t="s">
        <v>49</v>
      </c>
      <c r="D44" t="s">
        <v>46</v>
      </c>
      <c r="E44" s="1">
        <v>45672</v>
      </c>
    </row>
    <row r="45" spans="1:5" x14ac:dyDescent="0.25">
      <c r="A45" t="s">
        <v>301</v>
      </c>
      <c r="B45" t="s">
        <v>69</v>
      </c>
      <c r="C45" t="s">
        <v>49</v>
      </c>
      <c r="D45" t="s">
        <v>46</v>
      </c>
      <c r="E45" s="1">
        <v>45684</v>
      </c>
    </row>
    <row r="46" spans="1:5" x14ac:dyDescent="0.25">
      <c r="A46" t="s">
        <v>302</v>
      </c>
      <c r="B46" t="s">
        <v>70</v>
      </c>
      <c r="C46" t="s">
        <v>38</v>
      </c>
      <c r="D46" t="s">
        <v>261</v>
      </c>
      <c r="E46" s="1">
        <v>45689</v>
      </c>
    </row>
    <row r="47" spans="1:5" x14ac:dyDescent="0.25">
      <c r="A47" t="s">
        <v>303</v>
      </c>
      <c r="B47" t="s">
        <v>70</v>
      </c>
      <c r="C47" t="s">
        <v>38</v>
      </c>
      <c r="D47" t="s">
        <v>264</v>
      </c>
      <c r="E47" s="1">
        <v>45679</v>
      </c>
    </row>
    <row r="48" spans="1:5" x14ac:dyDescent="0.25">
      <c r="A48" t="s">
        <v>304</v>
      </c>
      <c r="B48" t="s">
        <v>70</v>
      </c>
      <c r="C48" t="s">
        <v>38</v>
      </c>
      <c r="D48" t="s">
        <v>255</v>
      </c>
      <c r="E48" s="1">
        <v>45685</v>
      </c>
    </row>
    <row r="49" spans="1:5" x14ac:dyDescent="0.25">
      <c r="A49" t="s">
        <v>305</v>
      </c>
      <c r="B49" t="s">
        <v>71</v>
      </c>
      <c r="C49" t="s">
        <v>38</v>
      </c>
      <c r="D49" t="s">
        <v>264</v>
      </c>
      <c r="E49" s="1">
        <v>45680</v>
      </c>
    </row>
    <row r="50" spans="1:5" x14ac:dyDescent="0.25">
      <c r="A50" t="s">
        <v>306</v>
      </c>
      <c r="B50" t="s">
        <v>71</v>
      </c>
      <c r="C50" t="s">
        <v>45</v>
      </c>
      <c r="D50" t="s">
        <v>257</v>
      </c>
      <c r="E50" s="1">
        <v>45677</v>
      </c>
    </row>
    <row r="51" spans="1:5" x14ac:dyDescent="0.25">
      <c r="A51" t="s">
        <v>307</v>
      </c>
      <c r="B51" t="s">
        <v>72</v>
      </c>
      <c r="C51" t="s">
        <v>33</v>
      </c>
      <c r="D51" t="s">
        <v>261</v>
      </c>
      <c r="E51" s="1">
        <v>45680</v>
      </c>
    </row>
    <row r="52" spans="1:5" x14ac:dyDescent="0.25">
      <c r="A52" t="s">
        <v>308</v>
      </c>
      <c r="B52" t="s">
        <v>73</v>
      </c>
      <c r="C52" t="s">
        <v>38</v>
      </c>
      <c r="D52" t="s">
        <v>261</v>
      </c>
      <c r="E52" s="1">
        <v>45669</v>
      </c>
    </row>
    <row r="53" spans="1:5" x14ac:dyDescent="0.25">
      <c r="A53" t="s">
        <v>309</v>
      </c>
      <c r="B53" t="s">
        <v>73</v>
      </c>
      <c r="C53" t="s">
        <v>49</v>
      </c>
      <c r="D53" t="s">
        <v>264</v>
      </c>
      <c r="E53" s="1">
        <v>45668</v>
      </c>
    </row>
    <row r="54" spans="1:5" x14ac:dyDescent="0.25">
      <c r="A54" t="s">
        <v>310</v>
      </c>
      <c r="B54" t="s">
        <v>73</v>
      </c>
      <c r="C54" t="s">
        <v>33</v>
      </c>
      <c r="D54" t="s">
        <v>257</v>
      </c>
      <c r="E54" s="1">
        <v>45668</v>
      </c>
    </row>
    <row r="55" spans="1:5" x14ac:dyDescent="0.25">
      <c r="A55" t="s">
        <v>311</v>
      </c>
      <c r="B55" t="s">
        <v>74</v>
      </c>
      <c r="C55" t="s">
        <v>33</v>
      </c>
      <c r="D55" t="s">
        <v>46</v>
      </c>
      <c r="E55" s="1">
        <v>45678</v>
      </c>
    </row>
    <row r="56" spans="1:5" x14ac:dyDescent="0.25">
      <c r="A56" t="s">
        <v>312</v>
      </c>
      <c r="B56" t="s">
        <v>74</v>
      </c>
      <c r="C56" t="s">
        <v>45</v>
      </c>
      <c r="D56" t="s">
        <v>255</v>
      </c>
      <c r="E56" s="1">
        <v>45677</v>
      </c>
    </row>
    <row r="57" spans="1:5" x14ac:dyDescent="0.25">
      <c r="A57" t="s">
        <v>313</v>
      </c>
      <c r="B57" t="s">
        <v>74</v>
      </c>
      <c r="C57" t="s">
        <v>33</v>
      </c>
      <c r="D57" t="s">
        <v>264</v>
      </c>
      <c r="E57" s="1">
        <v>45681</v>
      </c>
    </row>
    <row r="58" spans="1:5" x14ac:dyDescent="0.25">
      <c r="A58" t="s">
        <v>314</v>
      </c>
      <c r="B58" t="s">
        <v>74</v>
      </c>
      <c r="C58" t="s">
        <v>45</v>
      </c>
      <c r="D58" t="s">
        <v>261</v>
      </c>
      <c r="E58" s="1">
        <v>45683</v>
      </c>
    </row>
    <row r="59" spans="1:5" x14ac:dyDescent="0.25">
      <c r="A59" t="s">
        <v>315</v>
      </c>
      <c r="B59" t="s">
        <v>75</v>
      </c>
      <c r="C59" t="s">
        <v>33</v>
      </c>
      <c r="D59" t="s">
        <v>257</v>
      </c>
      <c r="E59" s="1">
        <v>45676</v>
      </c>
    </row>
    <row r="60" spans="1:5" x14ac:dyDescent="0.25">
      <c r="A60" t="s">
        <v>316</v>
      </c>
      <c r="B60" t="s">
        <v>75</v>
      </c>
      <c r="C60" t="s">
        <v>33</v>
      </c>
      <c r="D60" t="s">
        <v>255</v>
      </c>
      <c r="E60" s="1">
        <v>45680</v>
      </c>
    </row>
    <row r="61" spans="1:5" x14ac:dyDescent="0.25">
      <c r="A61" t="s">
        <v>317</v>
      </c>
      <c r="B61" t="s">
        <v>75</v>
      </c>
      <c r="C61" t="s">
        <v>33</v>
      </c>
      <c r="D61" t="s">
        <v>46</v>
      </c>
      <c r="E61" s="1">
        <v>45684</v>
      </c>
    </row>
    <row r="62" spans="1:5" x14ac:dyDescent="0.25">
      <c r="A62" t="s">
        <v>318</v>
      </c>
      <c r="B62" t="s">
        <v>76</v>
      </c>
      <c r="C62" t="s">
        <v>49</v>
      </c>
      <c r="D62" t="s">
        <v>46</v>
      </c>
      <c r="E62" s="1">
        <v>45666</v>
      </c>
    </row>
    <row r="63" spans="1:5" x14ac:dyDescent="0.25">
      <c r="A63" t="s">
        <v>319</v>
      </c>
      <c r="B63" t="s">
        <v>76</v>
      </c>
      <c r="C63" t="s">
        <v>49</v>
      </c>
      <c r="D63" t="s">
        <v>255</v>
      </c>
      <c r="E63" s="1">
        <v>45671</v>
      </c>
    </row>
    <row r="64" spans="1:5" x14ac:dyDescent="0.25">
      <c r="A64" t="s">
        <v>320</v>
      </c>
      <c r="B64" t="s">
        <v>77</v>
      </c>
      <c r="C64" t="s">
        <v>38</v>
      </c>
      <c r="D64" t="s">
        <v>46</v>
      </c>
      <c r="E64" s="1">
        <v>45664</v>
      </c>
    </row>
    <row r="65" spans="1:5" x14ac:dyDescent="0.25">
      <c r="A65" t="s">
        <v>321</v>
      </c>
      <c r="B65" t="s">
        <v>78</v>
      </c>
      <c r="C65" t="s">
        <v>33</v>
      </c>
      <c r="D65" t="s">
        <v>46</v>
      </c>
      <c r="E65" s="1">
        <v>45682</v>
      </c>
    </row>
    <row r="66" spans="1:5" x14ac:dyDescent="0.25">
      <c r="A66" t="s">
        <v>322</v>
      </c>
      <c r="B66" t="s">
        <v>78</v>
      </c>
      <c r="C66" t="s">
        <v>38</v>
      </c>
      <c r="D66" t="s">
        <v>264</v>
      </c>
      <c r="E66" s="1">
        <v>45672</v>
      </c>
    </row>
    <row r="67" spans="1:5" x14ac:dyDescent="0.25">
      <c r="A67" t="s">
        <v>323</v>
      </c>
      <c r="B67" t="s">
        <v>78</v>
      </c>
      <c r="C67" t="s">
        <v>45</v>
      </c>
      <c r="D67" t="s">
        <v>261</v>
      </c>
      <c r="E67" s="1">
        <v>45686</v>
      </c>
    </row>
    <row r="68" spans="1:5" x14ac:dyDescent="0.25">
      <c r="A68" t="s">
        <v>324</v>
      </c>
      <c r="B68" t="s">
        <v>79</v>
      </c>
      <c r="C68" t="s">
        <v>38</v>
      </c>
      <c r="D68" t="s">
        <v>255</v>
      </c>
      <c r="E68" s="1">
        <v>45670</v>
      </c>
    </row>
    <row r="69" spans="1:5" x14ac:dyDescent="0.25">
      <c r="A69" t="s">
        <v>325</v>
      </c>
      <c r="B69" t="s">
        <v>79</v>
      </c>
      <c r="C69" t="s">
        <v>49</v>
      </c>
      <c r="D69" t="s">
        <v>264</v>
      </c>
      <c r="E69" s="1">
        <v>45668</v>
      </c>
    </row>
    <row r="70" spans="1:5" x14ac:dyDescent="0.25">
      <c r="A70" t="s">
        <v>326</v>
      </c>
      <c r="B70" t="s">
        <v>79</v>
      </c>
      <c r="C70" t="s">
        <v>38</v>
      </c>
      <c r="D70" t="s">
        <v>257</v>
      </c>
      <c r="E70" s="1">
        <v>45672</v>
      </c>
    </row>
    <row r="71" spans="1:5" x14ac:dyDescent="0.25">
      <c r="A71" t="s">
        <v>327</v>
      </c>
      <c r="B71" t="s">
        <v>79</v>
      </c>
      <c r="C71" t="s">
        <v>45</v>
      </c>
      <c r="D71" t="s">
        <v>46</v>
      </c>
      <c r="E71" s="1">
        <v>45673</v>
      </c>
    </row>
    <row r="72" spans="1:5" x14ac:dyDescent="0.25">
      <c r="A72" t="s">
        <v>328</v>
      </c>
      <c r="B72" t="s">
        <v>80</v>
      </c>
      <c r="C72" t="s">
        <v>38</v>
      </c>
      <c r="D72" t="s">
        <v>46</v>
      </c>
      <c r="E72" s="1">
        <v>45671</v>
      </c>
    </row>
    <row r="73" spans="1:5" x14ac:dyDescent="0.25">
      <c r="A73" t="s">
        <v>329</v>
      </c>
      <c r="B73" t="s">
        <v>81</v>
      </c>
      <c r="C73" t="s">
        <v>33</v>
      </c>
      <c r="D73" t="s">
        <v>257</v>
      </c>
      <c r="E73" s="1">
        <v>45680</v>
      </c>
    </row>
    <row r="74" spans="1:5" x14ac:dyDescent="0.25">
      <c r="A74" t="s">
        <v>330</v>
      </c>
      <c r="B74" t="s">
        <v>82</v>
      </c>
      <c r="C74" t="s">
        <v>45</v>
      </c>
      <c r="D74" t="s">
        <v>257</v>
      </c>
      <c r="E74" s="1">
        <v>45668</v>
      </c>
    </row>
    <row r="75" spans="1:5" x14ac:dyDescent="0.25">
      <c r="A75" t="s">
        <v>331</v>
      </c>
      <c r="B75" t="s">
        <v>82</v>
      </c>
      <c r="C75" t="s">
        <v>38</v>
      </c>
      <c r="D75" t="s">
        <v>46</v>
      </c>
      <c r="E75" s="1">
        <v>45667</v>
      </c>
    </row>
    <row r="76" spans="1:5" x14ac:dyDescent="0.25">
      <c r="A76" t="s">
        <v>332</v>
      </c>
      <c r="B76" t="s">
        <v>82</v>
      </c>
      <c r="C76" t="s">
        <v>38</v>
      </c>
      <c r="D76" t="s">
        <v>264</v>
      </c>
      <c r="E76" s="1">
        <v>45662</v>
      </c>
    </row>
    <row r="77" spans="1:5" x14ac:dyDescent="0.25">
      <c r="A77" t="s">
        <v>333</v>
      </c>
      <c r="B77" t="s">
        <v>83</v>
      </c>
      <c r="C77" t="s">
        <v>38</v>
      </c>
      <c r="D77" t="s">
        <v>261</v>
      </c>
      <c r="E77" s="1">
        <v>45679</v>
      </c>
    </row>
    <row r="78" spans="1:5" x14ac:dyDescent="0.25">
      <c r="A78" t="s">
        <v>334</v>
      </c>
      <c r="B78" t="s">
        <v>84</v>
      </c>
      <c r="C78" t="s">
        <v>49</v>
      </c>
      <c r="D78" t="s">
        <v>257</v>
      </c>
      <c r="E78" s="1">
        <v>45676</v>
      </c>
    </row>
    <row r="79" spans="1:5" x14ac:dyDescent="0.25">
      <c r="A79" t="s">
        <v>335</v>
      </c>
      <c r="B79" t="s">
        <v>84</v>
      </c>
      <c r="C79" t="s">
        <v>33</v>
      </c>
      <c r="D79" t="s">
        <v>255</v>
      </c>
      <c r="E79" s="1">
        <v>45673</v>
      </c>
    </row>
    <row r="80" spans="1:5" x14ac:dyDescent="0.25">
      <c r="A80" t="s">
        <v>336</v>
      </c>
      <c r="B80" t="s">
        <v>85</v>
      </c>
      <c r="C80" t="s">
        <v>45</v>
      </c>
      <c r="D80" t="s">
        <v>255</v>
      </c>
      <c r="E80" s="1">
        <v>45675</v>
      </c>
    </row>
    <row r="81" spans="1:5" x14ac:dyDescent="0.25">
      <c r="A81" t="s">
        <v>337</v>
      </c>
      <c r="B81" t="s">
        <v>86</v>
      </c>
      <c r="C81" t="s">
        <v>49</v>
      </c>
      <c r="D81" t="s">
        <v>264</v>
      </c>
      <c r="E81" s="1">
        <v>45678</v>
      </c>
    </row>
    <row r="82" spans="1:5" x14ac:dyDescent="0.25">
      <c r="A82" t="s">
        <v>338</v>
      </c>
      <c r="B82" t="s">
        <v>86</v>
      </c>
      <c r="C82" t="s">
        <v>33</v>
      </c>
      <c r="D82" t="s">
        <v>46</v>
      </c>
      <c r="E82" s="1">
        <v>45677</v>
      </c>
    </row>
    <row r="83" spans="1:5" x14ac:dyDescent="0.25">
      <c r="A83" t="s">
        <v>339</v>
      </c>
      <c r="B83" t="s">
        <v>86</v>
      </c>
      <c r="C83" t="s">
        <v>38</v>
      </c>
      <c r="D83" t="s">
        <v>255</v>
      </c>
      <c r="E83" s="1">
        <v>45677</v>
      </c>
    </row>
    <row r="84" spans="1:5" x14ac:dyDescent="0.25">
      <c r="A84" t="s">
        <v>340</v>
      </c>
      <c r="B84" t="s">
        <v>86</v>
      </c>
      <c r="C84" t="s">
        <v>33</v>
      </c>
      <c r="D84" t="s">
        <v>257</v>
      </c>
      <c r="E84" s="1">
        <v>45687</v>
      </c>
    </row>
    <row r="85" spans="1:5" x14ac:dyDescent="0.25">
      <c r="A85" t="s">
        <v>341</v>
      </c>
      <c r="B85" t="s">
        <v>87</v>
      </c>
      <c r="C85" t="s">
        <v>33</v>
      </c>
      <c r="D85" t="s">
        <v>261</v>
      </c>
      <c r="E85" s="1">
        <v>45673</v>
      </c>
    </row>
    <row r="86" spans="1:5" x14ac:dyDescent="0.25">
      <c r="A86" t="s">
        <v>342</v>
      </c>
      <c r="B86" t="s">
        <v>88</v>
      </c>
      <c r="C86" t="s">
        <v>38</v>
      </c>
      <c r="D86" t="s">
        <v>255</v>
      </c>
      <c r="E86" s="1">
        <v>45672</v>
      </c>
    </row>
    <row r="87" spans="1:5" x14ac:dyDescent="0.25">
      <c r="A87" t="s">
        <v>343</v>
      </c>
      <c r="B87" t="s">
        <v>88</v>
      </c>
      <c r="C87" t="s">
        <v>33</v>
      </c>
      <c r="D87" t="s">
        <v>257</v>
      </c>
      <c r="E87" s="1">
        <v>45679</v>
      </c>
    </row>
    <row r="88" spans="1:5" x14ac:dyDescent="0.25">
      <c r="A88" t="s">
        <v>344</v>
      </c>
      <c r="B88" t="s">
        <v>88</v>
      </c>
      <c r="C88" t="s">
        <v>49</v>
      </c>
      <c r="D88" t="s">
        <v>264</v>
      </c>
      <c r="E88" s="1">
        <v>45676</v>
      </c>
    </row>
    <row r="89" spans="1:5" x14ac:dyDescent="0.25">
      <c r="A89" t="s">
        <v>345</v>
      </c>
      <c r="B89" t="s">
        <v>88</v>
      </c>
      <c r="C89" t="s">
        <v>38</v>
      </c>
      <c r="D89" t="s">
        <v>261</v>
      </c>
      <c r="E89" s="1">
        <v>45676</v>
      </c>
    </row>
    <row r="90" spans="1:5" x14ac:dyDescent="0.25">
      <c r="A90" t="s">
        <v>346</v>
      </c>
      <c r="B90" t="s">
        <v>89</v>
      </c>
      <c r="C90" t="s">
        <v>45</v>
      </c>
      <c r="D90" t="s">
        <v>261</v>
      </c>
      <c r="E90" s="1">
        <v>45671</v>
      </c>
    </row>
    <row r="91" spans="1:5" x14ac:dyDescent="0.25">
      <c r="A91" t="s">
        <v>347</v>
      </c>
      <c r="B91" t="s">
        <v>89</v>
      </c>
      <c r="C91" t="s">
        <v>38</v>
      </c>
      <c r="D91" t="s">
        <v>264</v>
      </c>
      <c r="E91" s="1">
        <v>45668</v>
      </c>
    </row>
    <row r="92" spans="1:5" x14ac:dyDescent="0.25">
      <c r="A92" t="s">
        <v>348</v>
      </c>
      <c r="B92" t="s">
        <v>89</v>
      </c>
      <c r="C92" t="s">
        <v>49</v>
      </c>
      <c r="D92" t="s">
        <v>255</v>
      </c>
      <c r="E92" s="1">
        <v>45665</v>
      </c>
    </row>
    <row r="93" spans="1:5" x14ac:dyDescent="0.25">
      <c r="A93" t="s">
        <v>349</v>
      </c>
      <c r="B93" t="s">
        <v>90</v>
      </c>
      <c r="C93" t="s">
        <v>45</v>
      </c>
      <c r="D93" t="s">
        <v>264</v>
      </c>
      <c r="E93" s="1">
        <v>45677</v>
      </c>
    </row>
    <row r="94" spans="1:5" x14ac:dyDescent="0.25">
      <c r="A94" t="s">
        <v>350</v>
      </c>
      <c r="B94" t="s">
        <v>90</v>
      </c>
      <c r="C94" t="s">
        <v>49</v>
      </c>
      <c r="D94" t="s">
        <v>46</v>
      </c>
      <c r="E94" s="1">
        <v>45677</v>
      </c>
    </row>
    <row r="95" spans="1:5" x14ac:dyDescent="0.25">
      <c r="A95" t="s">
        <v>351</v>
      </c>
      <c r="B95" t="s">
        <v>90</v>
      </c>
      <c r="C95" t="s">
        <v>33</v>
      </c>
      <c r="D95" t="s">
        <v>261</v>
      </c>
      <c r="E95" s="1">
        <v>45676</v>
      </c>
    </row>
    <row r="96" spans="1:5" x14ac:dyDescent="0.25">
      <c r="A96" t="s">
        <v>352</v>
      </c>
      <c r="B96" t="s">
        <v>91</v>
      </c>
      <c r="C96" t="s">
        <v>38</v>
      </c>
      <c r="D96" t="s">
        <v>257</v>
      </c>
      <c r="E96" s="1">
        <v>45677</v>
      </c>
    </row>
    <row r="97" spans="1:5" x14ac:dyDescent="0.25">
      <c r="A97" t="s">
        <v>353</v>
      </c>
      <c r="B97" t="s">
        <v>91</v>
      </c>
      <c r="C97" t="s">
        <v>45</v>
      </c>
      <c r="D97" t="s">
        <v>255</v>
      </c>
      <c r="E97" s="1">
        <v>45679</v>
      </c>
    </row>
    <row r="98" spans="1:5" x14ac:dyDescent="0.25">
      <c r="A98" t="s">
        <v>354</v>
      </c>
      <c r="B98" t="s">
        <v>91</v>
      </c>
      <c r="C98" t="s">
        <v>38</v>
      </c>
      <c r="D98" t="s">
        <v>46</v>
      </c>
      <c r="E98" s="1">
        <v>45671</v>
      </c>
    </row>
    <row r="99" spans="1:5" x14ac:dyDescent="0.25">
      <c r="A99" t="s">
        <v>355</v>
      </c>
      <c r="B99" t="s">
        <v>91</v>
      </c>
      <c r="C99" t="s">
        <v>38</v>
      </c>
      <c r="D99" t="s">
        <v>264</v>
      </c>
      <c r="E99" s="1">
        <v>45682</v>
      </c>
    </row>
    <row r="100" spans="1:5" x14ac:dyDescent="0.25">
      <c r="A100" t="s">
        <v>356</v>
      </c>
      <c r="B100" t="s">
        <v>92</v>
      </c>
      <c r="C100" t="s">
        <v>45</v>
      </c>
      <c r="D100" t="s">
        <v>264</v>
      </c>
      <c r="E100" s="1">
        <v>45682</v>
      </c>
    </row>
    <row r="101" spans="1:5" x14ac:dyDescent="0.25">
      <c r="A101" t="s">
        <v>357</v>
      </c>
      <c r="B101" t="s">
        <v>93</v>
      </c>
      <c r="C101" t="s">
        <v>45</v>
      </c>
      <c r="D101" t="s">
        <v>255</v>
      </c>
      <c r="E101" s="1">
        <v>45670</v>
      </c>
    </row>
    <row r="102" spans="1:5" x14ac:dyDescent="0.25">
      <c r="A102" t="s">
        <v>358</v>
      </c>
      <c r="B102" t="s">
        <v>93</v>
      </c>
      <c r="C102" t="s">
        <v>45</v>
      </c>
      <c r="D102" t="s">
        <v>257</v>
      </c>
      <c r="E102" s="1">
        <v>45662</v>
      </c>
    </row>
    <row r="103" spans="1:5" x14ac:dyDescent="0.25">
      <c r="A103" t="s">
        <v>359</v>
      </c>
      <c r="B103" t="s">
        <v>94</v>
      </c>
      <c r="C103" t="s">
        <v>49</v>
      </c>
      <c r="D103" t="s">
        <v>264</v>
      </c>
      <c r="E103" s="1">
        <v>45673</v>
      </c>
    </row>
    <row r="104" spans="1:5" x14ac:dyDescent="0.25">
      <c r="A104" t="s">
        <v>360</v>
      </c>
      <c r="B104" t="s">
        <v>94</v>
      </c>
      <c r="C104" t="s">
        <v>33</v>
      </c>
      <c r="D104" t="s">
        <v>255</v>
      </c>
      <c r="E104" s="1">
        <v>45671</v>
      </c>
    </row>
    <row r="105" spans="1:5" x14ac:dyDescent="0.25">
      <c r="A105" t="s">
        <v>361</v>
      </c>
      <c r="B105" t="s">
        <v>94</v>
      </c>
      <c r="C105" t="s">
        <v>45</v>
      </c>
      <c r="D105" t="s">
        <v>46</v>
      </c>
      <c r="E105" s="1">
        <v>45676</v>
      </c>
    </row>
    <row r="106" spans="1:5" x14ac:dyDescent="0.25">
      <c r="A106" t="s">
        <v>362</v>
      </c>
      <c r="B106" t="s">
        <v>95</v>
      </c>
      <c r="C106" t="s">
        <v>38</v>
      </c>
      <c r="D106" t="s">
        <v>46</v>
      </c>
      <c r="E106" s="1">
        <v>45667</v>
      </c>
    </row>
    <row r="107" spans="1:5" x14ac:dyDescent="0.25">
      <c r="A107" t="s">
        <v>363</v>
      </c>
      <c r="B107" t="s">
        <v>95</v>
      </c>
      <c r="C107" t="s">
        <v>49</v>
      </c>
      <c r="D107" t="s">
        <v>257</v>
      </c>
      <c r="E107" s="1">
        <v>45671</v>
      </c>
    </row>
    <row r="108" spans="1:5" x14ac:dyDescent="0.25">
      <c r="A108" t="s">
        <v>364</v>
      </c>
      <c r="B108" t="s">
        <v>95</v>
      </c>
      <c r="C108" t="s">
        <v>49</v>
      </c>
      <c r="D108" t="s">
        <v>264</v>
      </c>
      <c r="E108" s="1">
        <v>45673</v>
      </c>
    </row>
    <row r="109" spans="1:5" x14ac:dyDescent="0.25">
      <c r="A109" t="s">
        <v>365</v>
      </c>
      <c r="B109" t="s">
        <v>96</v>
      </c>
      <c r="C109" t="s">
        <v>38</v>
      </c>
      <c r="D109" t="s">
        <v>257</v>
      </c>
      <c r="E109" s="1">
        <v>45677</v>
      </c>
    </row>
    <row r="110" spans="1:5" x14ac:dyDescent="0.25">
      <c r="A110" t="s">
        <v>366</v>
      </c>
      <c r="B110" t="s">
        <v>96</v>
      </c>
      <c r="C110" t="s">
        <v>38</v>
      </c>
      <c r="D110" t="s">
        <v>264</v>
      </c>
      <c r="E110" s="1">
        <v>45665</v>
      </c>
    </row>
    <row r="111" spans="1:5" x14ac:dyDescent="0.25">
      <c r="A111" t="s">
        <v>367</v>
      </c>
      <c r="B111" t="s">
        <v>97</v>
      </c>
      <c r="C111" t="s">
        <v>38</v>
      </c>
      <c r="D111" t="s">
        <v>255</v>
      </c>
      <c r="E111" s="1">
        <v>45683</v>
      </c>
    </row>
    <row r="112" spans="1:5" x14ac:dyDescent="0.25">
      <c r="A112" t="s">
        <v>368</v>
      </c>
      <c r="B112" t="s">
        <v>97</v>
      </c>
      <c r="C112" t="s">
        <v>49</v>
      </c>
      <c r="D112" t="s">
        <v>261</v>
      </c>
      <c r="E112" s="1">
        <v>45676</v>
      </c>
    </row>
    <row r="113" spans="1:5" x14ac:dyDescent="0.25">
      <c r="A113" t="s">
        <v>369</v>
      </c>
      <c r="B113" t="s">
        <v>97</v>
      </c>
      <c r="C113" t="s">
        <v>45</v>
      </c>
      <c r="D113" t="s">
        <v>46</v>
      </c>
      <c r="E113" s="1">
        <v>45675</v>
      </c>
    </row>
    <row r="114" spans="1:5" x14ac:dyDescent="0.25">
      <c r="A114" t="s">
        <v>370</v>
      </c>
      <c r="B114" t="s">
        <v>98</v>
      </c>
      <c r="C114" t="s">
        <v>33</v>
      </c>
      <c r="D114" t="s">
        <v>261</v>
      </c>
      <c r="E114" s="1">
        <v>45676</v>
      </c>
    </row>
    <row r="115" spans="1:5" x14ac:dyDescent="0.25">
      <c r="A115" t="s">
        <v>371</v>
      </c>
      <c r="B115" t="s">
        <v>98</v>
      </c>
      <c r="C115" t="s">
        <v>33</v>
      </c>
      <c r="D115" t="s">
        <v>264</v>
      </c>
      <c r="E115" s="1">
        <v>45681</v>
      </c>
    </row>
    <row r="116" spans="1:5" x14ac:dyDescent="0.25">
      <c r="A116" t="s">
        <v>372</v>
      </c>
      <c r="B116" t="s">
        <v>98</v>
      </c>
      <c r="C116" t="s">
        <v>45</v>
      </c>
      <c r="D116" t="s">
        <v>46</v>
      </c>
      <c r="E116" s="1">
        <v>45683</v>
      </c>
    </row>
    <row r="117" spans="1:5" x14ac:dyDescent="0.25">
      <c r="A117" t="s">
        <v>373</v>
      </c>
      <c r="B117" t="s">
        <v>99</v>
      </c>
      <c r="C117" t="s">
        <v>45</v>
      </c>
      <c r="D117" t="s">
        <v>46</v>
      </c>
      <c r="E117" s="1">
        <v>45685</v>
      </c>
    </row>
    <row r="118" spans="1:5" x14ac:dyDescent="0.25">
      <c r="A118" t="s">
        <v>374</v>
      </c>
      <c r="B118" t="s">
        <v>100</v>
      </c>
      <c r="C118" t="s">
        <v>38</v>
      </c>
      <c r="D118" t="s">
        <v>257</v>
      </c>
      <c r="E118" s="1">
        <v>45684</v>
      </c>
    </row>
    <row r="119" spans="1:5" x14ac:dyDescent="0.25">
      <c r="A119" t="s">
        <v>375</v>
      </c>
      <c r="B119" t="s">
        <v>101</v>
      </c>
      <c r="C119" t="s">
        <v>33</v>
      </c>
      <c r="D119" t="s">
        <v>261</v>
      </c>
      <c r="E119" s="1">
        <v>45669</v>
      </c>
    </row>
    <row r="120" spans="1:5" x14ac:dyDescent="0.25">
      <c r="A120" t="s">
        <v>376</v>
      </c>
      <c r="B120" t="s">
        <v>101</v>
      </c>
      <c r="C120" t="s">
        <v>49</v>
      </c>
      <c r="D120" t="s">
        <v>264</v>
      </c>
      <c r="E120" s="1">
        <v>45669</v>
      </c>
    </row>
    <row r="121" spans="1:5" x14ac:dyDescent="0.25">
      <c r="A121" t="s">
        <v>377</v>
      </c>
      <c r="B121" t="s">
        <v>101</v>
      </c>
      <c r="C121" t="s">
        <v>33</v>
      </c>
      <c r="D121" t="s">
        <v>46</v>
      </c>
      <c r="E121" s="1">
        <v>45683</v>
      </c>
    </row>
    <row r="122" spans="1:5" x14ac:dyDescent="0.25">
      <c r="A122" t="s">
        <v>378</v>
      </c>
      <c r="B122" t="s">
        <v>102</v>
      </c>
      <c r="C122" t="s">
        <v>45</v>
      </c>
      <c r="D122" t="s">
        <v>255</v>
      </c>
      <c r="E122" s="1">
        <v>45677</v>
      </c>
    </row>
    <row r="123" spans="1:5" x14ac:dyDescent="0.25">
      <c r="A123" t="s">
        <v>379</v>
      </c>
      <c r="B123" t="s">
        <v>103</v>
      </c>
      <c r="C123" t="s">
        <v>33</v>
      </c>
      <c r="D123" t="s">
        <v>261</v>
      </c>
      <c r="E123" s="1">
        <v>45682</v>
      </c>
    </row>
    <row r="124" spans="1:5" x14ac:dyDescent="0.25">
      <c r="A124" t="s">
        <v>380</v>
      </c>
      <c r="B124" t="s">
        <v>103</v>
      </c>
      <c r="C124" t="s">
        <v>45</v>
      </c>
      <c r="D124" t="s">
        <v>257</v>
      </c>
      <c r="E124" s="1">
        <v>45679</v>
      </c>
    </row>
    <row r="125" spans="1:5" x14ac:dyDescent="0.25">
      <c r="A125" t="s">
        <v>381</v>
      </c>
      <c r="B125" t="s">
        <v>103</v>
      </c>
      <c r="C125" t="s">
        <v>45</v>
      </c>
      <c r="D125" t="s">
        <v>264</v>
      </c>
      <c r="E125" s="1">
        <v>45673</v>
      </c>
    </row>
    <row r="126" spans="1:5" x14ac:dyDescent="0.25">
      <c r="A126" t="s">
        <v>382</v>
      </c>
      <c r="B126" t="s">
        <v>103</v>
      </c>
      <c r="C126" t="s">
        <v>38</v>
      </c>
      <c r="D126" t="s">
        <v>46</v>
      </c>
      <c r="E126" s="1">
        <v>45674</v>
      </c>
    </row>
    <row r="127" spans="1:5" x14ac:dyDescent="0.25">
      <c r="A127" t="s">
        <v>383</v>
      </c>
      <c r="B127" t="s">
        <v>104</v>
      </c>
      <c r="C127" t="s">
        <v>45</v>
      </c>
      <c r="D127" t="s">
        <v>46</v>
      </c>
      <c r="E127" s="1">
        <v>45668</v>
      </c>
    </row>
    <row r="128" spans="1:5" x14ac:dyDescent="0.25">
      <c r="A128" t="s">
        <v>384</v>
      </c>
      <c r="B128" t="s">
        <v>104</v>
      </c>
      <c r="C128" t="s">
        <v>38</v>
      </c>
      <c r="D128" t="s">
        <v>264</v>
      </c>
      <c r="E128" s="1">
        <v>45674</v>
      </c>
    </row>
    <row r="129" spans="1:5" x14ac:dyDescent="0.25">
      <c r="A129" t="s">
        <v>385</v>
      </c>
      <c r="B129" t="s">
        <v>105</v>
      </c>
      <c r="C129" t="s">
        <v>38</v>
      </c>
      <c r="D129" t="s">
        <v>255</v>
      </c>
      <c r="E129" s="1">
        <v>45680</v>
      </c>
    </row>
    <row r="130" spans="1:5" x14ac:dyDescent="0.25">
      <c r="A130" t="s">
        <v>386</v>
      </c>
      <c r="B130" t="s">
        <v>105</v>
      </c>
      <c r="C130" t="s">
        <v>45</v>
      </c>
      <c r="D130" t="s">
        <v>264</v>
      </c>
      <c r="E130" s="1">
        <v>45682</v>
      </c>
    </row>
    <row r="131" spans="1:5" x14ac:dyDescent="0.25">
      <c r="A131" t="s">
        <v>387</v>
      </c>
      <c r="B131" t="s">
        <v>105</v>
      </c>
      <c r="C131" t="s">
        <v>49</v>
      </c>
      <c r="D131" t="s">
        <v>257</v>
      </c>
      <c r="E131" s="1">
        <v>45677</v>
      </c>
    </row>
    <row r="132" spans="1:5" x14ac:dyDescent="0.25">
      <c r="A132" t="s">
        <v>388</v>
      </c>
      <c r="B132" t="s">
        <v>105</v>
      </c>
      <c r="C132" t="s">
        <v>38</v>
      </c>
      <c r="D132" t="s">
        <v>261</v>
      </c>
      <c r="E132" s="1">
        <v>45683</v>
      </c>
    </row>
    <row r="133" spans="1:5" x14ac:dyDescent="0.25">
      <c r="A133" t="s">
        <v>389</v>
      </c>
      <c r="B133" t="s">
        <v>106</v>
      </c>
      <c r="C133" t="s">
        <v>49</v>
      </c>
      <c r="D133" t="s">
        <v>46</v>
      </c>
      <c r="E133" s="1">
        <v>45682</v>
      </c>
    </row>
    <row r="134" spans="1:5" x14ac:dyDescent="0.25">
      <c r="A134" t="s">
        <v>390</v>
      </c>
      <c r="B134" t="s">
        <v>106</v>
      </c>
      <c r="C134" t="s">
        <v>33</v>
      </c>
      <c r="D134" t="s">
        <v>255</v>
      </c>
      <c r="E134" s="1">
        <v>45690</v>
      </c>
    </row>
    <row r="135" spans="1:5" x14ac:dyDescent="0.25">
      <c r="A135" t="s">
        <v>391</v>
      </c>
      <c r="B135" t="s">
        <v>106</v>
      </c>
      <c r="C135" t="s">
        <v>38</v>
      </c>
      <c r="D135" t="s">
        <v>261</v>
      </c>
      <c r="E135" s="1">
        <v>45680</v>
      </c>
    </row>
    <row r="136" spans="1:5" x14ac:dyDescent="0.25">
      <c r="A136" t="s">
        <v>392</v>
      </c>
      <c r="B136" t="s">
        <v>107</v>
      </c>
      <c r="C136" t="s">
        <v>38</v>
      </c>
      <c r="D136" t="s">
        <v>261</v>
      </c>
      <c r="E136" s="1">
        <v>45683</v>
      </c>
    </row>
    <row r="137" spans="1:5" x14ac:dyDescent="0.25">
      <c r="A137" t="s">
        <v>393</v>
      </c>
      <c r="B137" t="s">
        <v>108</v>
      </c>
      <c r="C137" t="s">
        <v>45</v>
      </c>
      <c r="D137" t="s">
        <v>264</v>
      </c>
      <c r="E137" s="1">
        <v>45684</v>
      </c>
    </row>
    <row r="138" spans="1:5" x14ac:dyDescent="0.25">
      <c r="A138" t="s">
        <v>394</v>
      </c>
      <c r="B138" t="s">
        <v>108</v>
      </c>
      <c r="C138" t="s">
        <v>33</v>
      </c>
      <c r="D138" t="s">
        <v>46</v>
      </c>
      <c r="E138" s="1">
        <v>45678</v>
      </c>
    </row>
    <row r="139" spans="1:5" x14ac:dyDescent="0.25">
      <c r="A139" t="s">
        <v>395</v>
      </c>
      <c r="B139" t="s">
        <v>108</v>
      </c>
      <c r="C139" t="s">
        <v>49</v>
      </c>
      <c r="D139" t="s">
        <v>255</v>
      </c>
      <c r="E139" s="1">
        <v>45677</v>
      </c>
    </row>
    <row r="140" spans="1:5" x14ac:dyDescent="0.25">
      <c r="A140" t="s">
        <v>396</v>
      </c>
      <c r="B140" t="s">
        <v>108</v>
      </c>
      <c r="C140" t="s">
        <v>33</v>
      </c>
      <c r="D140" t="s">
        <v>257</v>
      </c>
      <c r="E140" s="1">
        <v>45685</v>
      </c>
    </row>
    <row r="141" spans="1:5" x14ac:dyDescent="0.25">
      <c r="A141" t="s">
        <v>397</v>
      </c>
      <c r="B141" t="s">
        <v>109</v>
      </c>
      <c r="C141" t="s">
        <v>38</v>
      </c>
      <c r="D141" t="s">
        <v>255</v>
      </c>
      <c r="E141" s="1">
        <v>45686</v>
      </c>
    </row>
    <row r="142" spans="1:5" x14ac:dyDescent="0.25">
      <c r="A142" t="s">
        <v>398</v>
      </c>
      <c r="B142" t="s">
        <v>109</v>
      </c>
      <c r="C142" t="s">
        <v>38</v>
      </c>
      <c r="D142" t="s">
        <v>261</v>
      </c>
      <c r="E142" s="1">
        <v>45686</v>
      </c>
    </row>
    <row r="143" spans="1:5" x14ac:dyDescent="0.25">
      <c r="A143" t="s">
        <v>399</v>
      </c>
      <c r="B143" t="s">
        <v>109</v>
      </c>
      <c r="C143" t="s">
        <v>38</v>
      </c>
      <c r="D143" t="s">
        <v>264</v>
      </c>
      <c r="E143" s="1">
        <v>45682</v>
      </c>
    </row>
    <row r="144" spans="1:5" x14ac:dyDescent="0.25">
      <c r="A144" t="s">
        <v>400</v>
      </c>
      <c r="B144" t="s">
        <v>109</v>
      </c>
      <c r="C144" t="s">
        <v>49</v>
      </c>
      <c r="D144" t="s">
        <v>46</v>
      </c>
      <c r="E144" s="1">
        <v>45687</v>
      </c>
    </row>
    <row r="145" spans="1:5" x14ac:dyDescent="0.25">
      <c r="A145" t="s">
        <v>401</v>
      </c>
      <c r="B145" t="s">
        <v>110</v>
      </c>
      <c r="C145" t="s">
        <v>49</v>
      </c>
      <c r="D145" t="s">
        <v>257</v>
      </c>
      <c r="E145" s="1">
        <v>45677</v>
      </c>
    </row>
    <row r="146" spans="1:5" x14ac:dyDescent="0.25">
      <c r="A146" t="s">
        <v>402</v>
      </c>
      <c r="B146" t="s">
        <v>110</v>
      </c>
      <c r="C146" t="s">
        <v>45</v>
      </c>
      <c r="D146" t="s">
        <v>255</v>
      </c>
      <c r="E146" s="1">
        <v>45686</v>
      </c>
    </row>
    <row r="147" spans="1:5" x14ac:dyDescent="0.25">
      <c r="A147" t="s">
        <v>403</v>
      </c>
      <c r="B147" t="s">
        <v>110</v>
      </c>
      <c r="C147" t="s">
        <v>38</v>
      </c>
      <c r="D147" t="s">
        <v>46</v>
      </c>
      <c r="E147" s="1">
        <v>45679</v>
      </c>
    </row>
    <row r="148" spans="1:5" x14ac:dyDescent="0.25">
      <c r="A148" t="s">
        <v>404</v>
      </c>
      <c r="B148" t="s">
        <v>111</v>
      </c>
      <c r="C148" t="s">
        <v>33</v>
      </c>
      <c r="D148" t="s">
        <v>255</v>
      </c>
      <c r="E148" s="1">
        <v>45663</v>
      </c>
    </row>
    <row r="149" spans="1:5" x14ac:dyDescent="0.25">
      <c r="A149" t="s">
        <v>405</v>
      </c>
      <c r="B149" t="s">
        <v>111</v>
      </c>
      <c r="C149" t="s">
        <v>33</v>
      </c>
      <c r="D149" t="s">
        <v>257</v>
      </c>
      <c r="E149" s="1">
        <v>45672</v>
      </c>
    </row>
    <row r="150" spans="1:5" x14ac:dyDescent="0.25">
      <c r="A150" t="s">
        <v>406</v>
      </c>
      <c r="B150" t="s">
        <v>111</v>
      </c>
      <c r="C150" t="s">
        <v>45</v>
      </c>
      <c r="D150" t="s">
        <v>264</v>
      </c>
      <c r="E150" s="1">
        <v>45666</v>
      </c>
    </row>
    <row r="151" spans="1:5" x14ac:dyDescent="0.25">
      <c r="A151" t="s">
        <v>407</v>
      </c>
      <c r="B151" t="s">
        <v>112</v>
      </c>
      <c r="C151" t="s">
        <v>45</v>
      </c>
      <c r="D151" t="s">
        <v>264</v>
      </c>
      <c r="E151" s="1">
        <v>45666</v>
      </c>
    </row>
    <row r="152" spans="1:5" x14ac:dyDescent="0.25">
      <c r="A152" t="s">
        <v>408</v>
      </c>
      <c r="B152" t="s">
        <v>113</v>
      </c>
      <c r="C152" t="s">
        <v>33</v>
      </c>
      <c r="D152" t="s">
        <v>261</v>
      </c>
      <c r="E152" s="1">
        <v>45672</v>
      </c>
    </row>
    <row r="153" spans="1:5" x14ac:dyDescent="0.25">
      <c r="A153" t="s">
        <v>409</v>
      </c>
      <c r="B153" t="s">
        <v>113</v>
      </c>
      <c r="C153" t="s">
        <v>49</v>
      </c>
      <c r="D153" t="s">
        <v>257</v>
      </c>
      <c r="E153" s="1">
        <v>45669</v>
      </c>
    </row>
    <row r="154" spans="1:5" x14ac:dyDescent="0.25">
      <c r="A154" t="s">
        <v>410</v>
      </c>
      <c r="B154" t="s">
        <v>114</v>
      </c>
      <c r="C154" t="s">
        <v>33</v>
      </c>
      <c r="D154" t="s">
        <v>46</v>
      </c>
      <c r="E154" s="1">
        <v>45676</v>
      </c>
    </row>
    <row r="155" spans="1:5" x14ac:dyDescent="0.25">
      <c r="A155" t="s">
        <v>411</v>
      </c>
      <c r="B155" t="s">
        <v>115</v>
      </c>
      <c r="C155" t="s">
        <v>38</v>
      </c>
      <c r="D155" t="s">
        <v>261</v>
      </c>
      <c r="E155" s="1">
        <v>45675</v>
      </c>
    </row>
    <row r="156" spans="1:5" x14ac:dyDescent="0.25">
      <c r="A156" t="s">
        <v>412</v>
      </c>
      <c r="B156" t="s">
        <v>115</v>
      </c>
      <c r="C156" t="s">
        <v>45</v>
      </c>
      <c r="D156" t="s">
        <v>257</v>
      </c>
      <c r="E156" s="1">
        <v>45668</v>
      </c>
    </row>
    <row r="157" spans="1:5" x14ac:dyDescent="0.25">
      <c r="A157" t="s">
        <v>413</v>
      </c>
      <c r="B157" t="s">
        <v>115</v>
      </c>
      <c r="C157" t="s">
        <v>38</v>
      </c>
      <c r="D157" t="s">
        <v>46</v>
      </c>
      <c r="E157" s="1">
        <v>45669</v>
      </c>
    </row>
    <row r="158" spans="1:5" x14ac:dyDescent="0.25">
      <c r="A158" t="s">
        <v>414</v>
      </c>
      <c r="B158" t="s">
        <v>116</v>
      </c>
      <c r="C158" t="s">
        <v>38</v>
      </c>
      <c r="D158" t="s">
        <v>261</v>
      </c>
      <c r="E158" s="1">
        <v>45683</v>
      </c>
    </row>
    <row r="159" spans="1:5" x14ac:dyDescent="0.25">
      <c r="A159" t="s">
        <v>415</v>
      </c>
      <c r="B159" t="s">
        <v>116</v>
      </c>
      <c r="C159" t="s">
        <v>38</v>
      </c>
      <c r="D159" t="s">
        <v>257</v>
      </c>
      <c r="E159" s="1">
        <v>45682</v>
      </c>
    </row>
    <row r="160" spans="1:5" x14ac:dyDescent="0.25">
      <c r="A160" t="s">
        <v>416</v>
      </c>
      <c r="B160" t="s">
        <v>116</v>
      </c>
      <c r="C160" t="s">
        <v>45</v>
      </c>
      <c r="D160" t="s">
        <v>264</v>
      </c>
      <c r="E160" s="1">
        <v>45674</v>
      </c>
    </row>
    <row r="161" spans="1:5" x14ac:dyDescent="0.25">
      <c r="A161" t="s">
        <v>417</v>
      </c>
      <c r="B161" t="s">
        <v>116</v>
      </c>
      <c r="C161" t="s">
        <v>33</v>
      </c>
      <c r="D161" t="s">
        <v>46</v>
      </c>
      <c r="E161" s="1">
        <v>45682</v>
      </c>
    </row>
    <row r="162" spans="1:5" x14ac:dyDescent="0.25">
      <c r="A162" t="s">
        <v>418</v>
      </c>
      <c r="B162" t="s">
        <v>117</v>
      </c>
      <c r="C162" t="s">
        <v>49</v>
      </c>
      <c r="D162" t="s">
        <v>257</v>
      </c>
      <c r="E162" s="1">
        <v>45680</v>
      </c>
    </row>
    <row r="163" spans="1:5" x14ac:dyDescent="0.25">
      <c r="A163" t="s">
        <v>419</v>
      </c>
      <c r="B163" t="s">
        <v>117</v>
      </c>
      <c r="C163" t="s">
        <v>38</v>
      </c>
      <c r="D163" t="s">
        <v>255</v>
      </c>
      <c r="E163" s="1">
        <v>45670</v>
      </c>
    </row>
    <row r="164" spans="1:5" x14ac:dyDescent="0.25">
      <c r="A164" t="s">
        <v>420</v>
      </c>
      <c r="B164" t="s">
        <v>118</v>
      </c>
      <c r="C164" t="s">
        <v>33</v>
      </c>
      <c r="D164" t="s">
        <v>257</v>
      </c>
      <c r="E164" s="1">
        <v>45676</v>
      </c>
    </row>
    <row r="165" spans="1:5" x14ac:dyDescent="0.25">
      <c r="A165" t="s">
        <v>421</v>
      </c>
      <c r="B165" t="s">
        <v>118</v>
      </c>
      <c r="C165" t="s">
        <v>38</v>
      </c>
      <c r="D165" t="s">
        <v>261</v>
      </c>
      <c r="E165" s="1">
        <v>45684</v>
      </c>
    </row>
    <row r="166" spans="1:5" x14ac:dyDescent="0.25">
      <c r="A166" t="s">
        <v>422</v>
      </c>
      <c r="B166" t="s">
        <v>119</v>
      </c>
      <c r="C166" t="s">
        <v>38</v>
      </c>
      <c r="D166" t="s">
        <v>255</v>
      </c>
      <c r="E166" s="1">
        <v>45671</v>
      </c>
    </row>
    <row r="167" spans="1:5" x14ac:dyDescent="0.25">
      <c r="A167" t="s">
        <v>423</v>
      </c>
      <c r="B167" t="s">
        <v>119</v>
      </c>
      <c r="C167" t="s">
        <v>33</v>
      </c>
      <c r="D167" t="s">
        <v>261</v>
      </c>
      <c r="E167" s="1">
        <v>45676</v>
      </c>
    </row>
    <row r="168" spans="1:5" x14ac:dyDescent="0.25">
      <c r="A168" t="s">
        <v>424</v>
      </c>
      <c r="B168" t="s">
        <v>119</v>
      </c>
      <c r="C168" t="s">
        <v>38</v>
      </c>
      <c r="D168" t="s">
        <v>257</v>
      </c>
      <c r="E168" s="1">
        <v>45665</v>
      </c>
    </row>
    <row r="169" spans="1:5" x14ac:dyDescent="0.25">
      <c r="A169" t="s">
        <v>425</v>
      </c>
      <c r="B169" t="s">
        <v>120</v>
      </c>
      <c r="C169" t="s">
        <v>38</v>
      </c>
      <c r="D169" t="s">
        <v>261</v>
      </c>
      <c r="E169" s="1">
        <v>45687</v>
      </c>
    </row>
    <row r="170" spans="1:5" x14ac:dyDescent="0.25">
      <c r="A170" t="s">
        <v>426</v>
      </c>
      <c r="B170" t="s">
        <v>120</v>
      </c>
      <c r="C170" t="s">
        <v>33</v>
      </c>
      <c r="D170" t="s">
        <v>257</v>
      </c>
      <c r="E170" s="1">
        <v>45678</v>
      </c>
    </row>
    <row r="171" spans="1:5" x14ac:dyDescent="0.25">
      <c r="A171" t="s">
        <v>427</v>
      </c>
      <c r="B171" t="s">
        <v>120</v>
      </c>
      <c r="C171" t="s">
        <v>49</v>
      </c>
      <c r="D171" t="s">
        <v>46</v>
      </c>
      <c r="E171" s="1">
        <v>45681</v>
      </c>
    </row>
    <row r="172" spans="1:5" x14ac:dyDescent="0.25">
      <c r="A172" t="s">
        <v>428</v>
      </c>
      <c r="B172" t="s">
        <v>120</v>
      </c>
      <c r="C172" t="s">
        <v>45</v>
      </c>
      <c r="D172" t="s">
        <v>255</v>
      </c>
      <c r="E172" s="1">
        <v>45687</v>
      </c>
    </row>
    <row r="173" spans="1:5" x14ac:dyDescent="0.25">
      <c r="A173" t="s">
        <v>429</v>
      </c>
      <c r="B173" t="s">
        <v>121</v>
      </c>
      <c r="C173" t="s">
        <v>38</v>
      </c>
      <c r="D173" t="s">
        <v>46</v>
      </c>
      <c r="E173" s="1">
        <v>45686</v>
      </c>
    </row>
    <row r="174" spans="1:5" x14ac:dyDescent="0.25">
      <c r="A174" t="s">
        <v>430</v>
      </c>
      <c r="B174" t="s">
        <v>121</v>
      </c>
      <c r="C174" t="s">
        <v>38</v>
      </c>
      <c r="D174" t="s">
        <v>255</v>
      </c>
      <c r="E174" s="1">
        <v>45678</v>
      </c>
    </row>
    <row r="175" spans="1:5" x14ac:dyDescent="0.25">
      <c r="A175" t="s">
        <v>431</v>
      </c>
      <c r="B175" t="s">
        <v>122</v>
      </c>
      <c r="C175" t="s">
        <v>49</v>
      </c>
      <c r="D175" t="s">
        <v>255</v>
      </c>
      <c r="E175" s="1">
        <v>45686</v>
      </c>
    </row>
    <row r="176" spans="1:5" x14ac:dyDescent="0.25">
      <c r="A176" t="s">
        <v>432</v>
      </c>
      <c r="B176" t="s">
        <v>122</v>
      </c>
      <c r="C176" t="s">
        <v>49</v>
      </c>
      <c r="D176" t="s">
        <v>257</v>
      </c>
      <c r="E176" s="1">
        <v>45685</v>
      </c>
    </row>
    <row r="177" spans="1:5" x14ac:dyDescent="0.25">
      <c r="A177" t="s">
        <v>433</v>
      </c>
      <c r="B177" t="s">
        <v>122</v>
      </c>
      <c r="C177" t="s">
        <v>49</v>
      </c>
      <c r="D177" t="s">
        <v>264</v>
      </c>
      <c r="E177" s="1">
        <v>45678</v>
      </c>
    </row>
    <row r="178" spans="1:5" x14ac:dyDescent="0.25">
      <c r="A178" t="s">
        <v>434</v>
      </c>
      <c r="B178" t="s">
        <v>122</v>
      </c>
      <c r="C178" t="s">
        <v>38</v>
      </c>
      <c r="D178" t="s">
        <v>261</v>
      </c>
      <c r="E178" s="1">
        <v>45683</v>
      </c>
    </row>
    <row r="179" spans="1:5" x14ac:dyDescent="0.25">
      <c r="A179" t="s">
        <v>435</v>
      </c>
      <c r="B179" t="s">
        <v>123</v>
      </c>
      <c r="C179" t="s">
        <v>45</v>
      </c>
      <c r="D179" t="s">
        <v>264</v>
      </c>
      <c r="E179" s="1">
        <v>45681</v>
      </c>
    </row>
    <row r="180" spans="1:5" x14ac:dyDescent="0.25">
      <c r="A180" t="s">
        <v>436</v>
      </c>
      <c r="B180" t="s">
        <v>123</v>
      </c>
      <c r="C180" t="s">
        <v>38</v>
      </c>
      <c r="D180" t="s">
        <v>255</v>
      </c>
      <c r="E180" s="1">
        <v>45675</v>
      </c>
    </row>
    <row r="181" spans="1:5" x14ac:dyDescent="0.25">
      <c r="A181" t="s">
        <v>437</v>
      </c>
      <c r="B181" t="s">
        <v>124</v>
      </c>
      <c r="C181" t="s">
        <v>38</v>
      </c>
      <c r="D181" t="s">
        <v>261</v>
      </c>
      <c r="E181" s="1">
        <v>45669</v>
      </c>
    </row>
    <row r="182" spans="1:5" x14ac:dyDescent="0.25">
      <c r="A182" t="s">
        <v>438</v>
      </c>
      <c r="B182" t="s">
        <v>124</v>
      </c>
      <c r="C182" t="s">
        <v>45</v>
      </c>
      <c r="D182" t="s">
        <v>257</v>
      </c>
      <c r="E182" s="1">
        <v>45672</v>
      </c>
    </row>
    <row r="183" spans="1:5" x14ac:dyDescent="0.25">
      <c r="A183" t="s">
        <v>439</v>
      </c>
      <c r="B183" t="s">
        <v>124</v>
      </c>
      <c r="C183" t="s">
        <v>38</v>
      </c>
      <c r="D183" t="s">
        <v>255</v>
      </c>
      <c r="E183" s="1">
        <v>45681</v>
      </c>
    </row>
    <row r="184" spans="1:5" x14ac:dyDescent="0.25">
      <c r="A184" t="s">
        <v>440</v>
      </c>
      <c r="B184" t="s">
        <v>124</v>
      </c>
      <c r="C184" t="s">
        <v>49</v>
      </c>
      <c r="D184" t="s">
        <v>264</v>
      </c>
      <c r="E184" s="1">
        <v>45670</v>
      </c>
    </row>
    <row r="185" spans="1:5" x14ac:dyDescent="0.25">
      <c r="A185" t="s">
        <v>441</v>
      </c>
      <c r="B185" t="s">
        <v>125</v>
      </c>
      <c r="C185" t="s">
        <v>45</v>
      </c>
      <c r="D185" t="s">
        <v>46</v>
      </c>
      <c r="E185" s="1">
        <v>45671</v>
      </c>
    </row>
    <row r="186" spans="1:5" x14ac:dyDescent="0.25">
      <c r="A186" t="s">
        <v>442</v>
      </c>
      <c r="B186" t="s">
        <v>125</v>
      </c>
      <c r="C186" t="s">
        <v>45</v>
      </c>
      <c r="D186" t="s">
        <v>255</v>
      </c>
      <c r="E186" s="1">
        <v>45678</v>
      </c>
    </row>
    <row r="187" spans="1:5" x14ac:dyDescent="0.25">
      <c r="A187" t="s">
        <v>443</v>
      </c>
      <c r="B187" t="s">
        <v>125</v>
      </c>
      <c r="C187" t="s">
        <v>38</v>
      </c>
      <c r="D187" t="s">
        <v>264</v>
      </c>
      <c r="E187" s="1">
        <v>45679</v>
      </c>
    </row>
    <row r="188" spans="1:5" x14ac:dyDescent="0.25">
      <c r="A188" t="s">
        <v>444</v>
      </c>
      <c r="B188" t="s">
        <v>126</v>
      </c>
      <c r="C188" t="s">
        <v>33</v>
      </c>
      <c r="D188" t="s">
        <v>261</v>
      </c>
      <c r="E188" s="1">
        <v>45661</v>
      </c>
    </row>
    <row r="189" spans="1:5" x14ac:dyDescent="0.25">
      <c r="A189" t="s">
        <v>445</v>
      </c>
      <c r="B189" t="s">
        <v>126</v>
      </c>
      <c r="C189" t="s">
        <v>33</v>
      </c>
      <c r="D189" t="s">
        <v>255</v>
      </c>
      <c r="E189" s="1">
        <v>45672</v>
      </c>
    </row>
    <row r="190" spans="1:5" x14ac:dyDescent="0.25">
      <c r="A190" t="s">
        <v>446</v>
      </c>
      <c r="B190" t="s">
        <v>126</v>
      </c>
      <c r="C190" t="s">
        <v>45</v>
      </c>
      <c r="D190" t="s">
        <v>257</v>
      </c>
      <c r="E190" s="1">
        <v>45668</v>
      </c>
    </row>
    <row r="191" spans="1:5" x14ac:dyDescent="0.25">
      <c r="A191" t="s">
        <v>447</v>
      </c>
      <c r="B191" t="s">
        <v>126</v>
      </c>
      <c r="C191" t="s">
        <v>45</v>
      </c>
      <c r="D191" t="s">
        <v>46</v>
      </c>
      <c r="E191" s="1">
        <v>45668</v>
      </c>
    </row>
    <row r="192" spans="1:5" x14ac:dyDescent="0.25">
      <c r="A192" t="s">
        <v>448</v>
      </c>
      <c r="B192" t="s">
        <v>127</v>
      </c>
      <c r="C192" t="s">
        <v>33</v>
      </c>
      <c r="D192" t="s">
        <v>257</v>
      </c>
      <c r="E192" s="1">
        <v>45688</v>
      </c>
    </row>
    <row r="193" spans="1:5" x14ac:dyDescent="0.25">
      <c r="A193" t="s">
        <v>449</v>
      </c>
      <c r="B193" t="s">
        <v>128</v>
      </c>
      <c r="C193" t="s">
        <v>33</v>
      </c>
      <c r="D193" t="s">
        <v>264</v>
      </c>
      <c r="E193" s="1">
        <v>45677</v>
      </c>
    </row>
    <row r="194" spans="1:5" x14ac:dyDescent="0.25">
      <c r="A194" t="s">
        <v>450</v>
      </c>
      <c r="B194" t="s">
        <v>129</v>
      </c>
      <c r="C194" t="s">
        <v>38</v>
      </c>
      <c r="D194" t="s">
        <v>257</v>
      </c>
      <c r="E194" s="1">
        <v>45669</v>
      </c>
    </row>
    <row r="195" spans="1:5" x14ac:dyDescent="0.25">
      <c r="A195" t="s">
        <v>451</v>
      </c>
      <c r="B195" t="s">
        <v>129</v>
      </c>
      <c r="C195" t="s">
        <v>33</v>
      </c>
      <c r="D195" t="s">
        <v>261</v>
      </c>
      <c r="E195" s="1">
        <v>45665</v>
      </c>
    </row>
    <row r="196" spans="1:5" x14ac:dyDescent="0.25">
      <c r="A196" t="s">
        <v>452</v>
      </c>
      <c r="B196" t="s">
        <v>130</v>
      </c>
      <c r="C196" t="s">
        <v>33</v>
      </c>
      <c r="D196" t="s">
        <v>264</v>
      </c>
      <c r="E196" s="1">
        <v>45685</v>
      </c>
    </row>
    <row r="197" spans="1:5" x14ac:dyDescent="0.25">
      <c r="A197" t="s">
        <v>453</v>
      </c>
      <c r="B197" t="s">
        <v>130</v>
      </c>
      <c r="C197" t="s">
        <v>49</v>
      </c>
      <c r="D197" t="s">
        <v>255</v>
      </c>
      <c r="E197" s="1">
        <v>45684</v>
      </c>
    </row>
    <row r="198" spans="1:5" x14ac:dyDescent="0.25">
      <c r="A198" t="s">
        <v>454</v>
      </c>
      <c r="B198" t="s">
        <v>130</v>
      </c>
      <c r="C198" t="s">
        <v>49</v>
      </c>
      <c r="D198" t="s">
        <v>46</v>
      </c>
      <c r="E198" s="1">
        <v>45682</v>
      </c>
    </row>
    <row r="199" spans="1:5" x14ac:dyDescent="0.25">
      <c r="A199" t="s">
        <v>455</v>
      </c>
      <c r="B199" t="s">
        <v>131</v>
      </c>
      <c r="C199" t="s">
        <v>45</v>
      </c>
      <c r="D199" t="s">
        <v>46</v>
      </c>
      <c r="E199" s="1">
        <v>45682</v>
      </c>
    </row>
    <row r="200" spans="1:5" x14ac:dyDescent="0.25">
      <c r="A200" t="s">
        <v>456</v>
      </c>
      <c r="B200" t="s">
        <v>131</v>
      </c>
      <c r="C200" t="s">
        <v>33</v>
      </c>
      <c r="D200" t="s">
        <v>264</v>
      </c>
      <c r="E200" s="1">
        <v>45679</v>
      </c>
    </row>
    <row r="201" spans="1:5" x14ac:dyDescent="0.25">
      <c r="A201" t="s">
        <v>457</v>
      </c>
      <c r="B201" t="s">
        <v>132</v>
      </c>
      <c r="C201" t="s">
        <v>33</v>
      </c>
      <c r="D201" t="s">
        <v>255</v>
      </c>
      <c r="E201" s="1">
        <v>45671</v>
      </c>
    </row>
    <row r="202" spans="1:5" x14ac:dyDescent="0.25">
      <c r="A202" t="s">
        <v>458</v>
      </c>
      <c r="B202" t="s">
        <v>132</v>
      </c>
      <c r="C202" t="s">
        <v>33</v>
      </c>
      <c r="D202" t="s">
        <v>261</v>
      </c>
      <c r="E202" s="1">
        <v>45669</v>
      </c>
    </row>
    <row r="203" spans="1:5" x14ac:dyDescent="0.25">
      <c r="A203" t="s">
        <v>459</v>
      </c>
      <c r="B203" t="s">
        <v>132</v>
      </c>
      <c r="C203" t="s">
        <v>49</v>
      </c>
      <c r="D203" t="s">
        <v>257</v>
      </c>
      <c r="E203" s="1">
        <v>45670</v>
      </c>
    </row>
    <row r="204" spans="1:5" x14ac:dyDescent="0.25">
      <c r="A204" t="s">
        <v>460</v>
      </c>
      <c r="B204" t="s">
        <v>132</v>
      </c>
      <c r="C204" t="s">
        <v>45</v>
      </c>
      <c r="D204" t="s">
        <v>264</v>
      </c>
      <c r="E204" s="1">
        <v>45666</v>
      </c>
    </row>
    <row r="205" spans="1:5" x14ac:dyDescent="0.25">
      <c r="A205" t="s">
        <v>461</v>
      </c>
      <c r="B205" t="s">
        <v>133</v>
      </c>
      <c r="C205" t="s">
        <v>38</v>
      </c>
      <c r="D205" t="s">
        <v>261</v>
      </c>
      <c r="E205" s="1">
        <v>45679</v>
      </c>
    </row>
    <row r="206" spans="1:5" x14ac:dyDescent="0.25">
      <c r="A206" t="s">
        <v>462</v>
      </c>
      <c r="B206" t="s">
        <v>133</v>
      </c>
      <c r="C206" t="s">
        <v>33</v>
      </c>
      <c r="D206" t="s">
        <v>264</v>
      </c>
      <c r="E206" s="1">
        <v>45678</v>
      </c>
    </row>
    <row r="207" spans="1:5" x14ac:dyDescent="0.25">
      <c r="A207" t="s">
        <v>463</v>
      </c>
      <c r="B207" t="s">
        <v>133</v>
      </c>
      <c r="C207" t="s">
        <v>38</v>
      </c>
      <c r="D207" t="s">
        <v>46</v>
      </c>
      <c r="E207" s="1">
        <v>45677</v>
      </c>
    </row>
    <row r="208" spans="1:5" x14ac:dyDescent="0.25">
      <c r="A208" t="s">
        <v>464</v>
      </c>
      <c r="B208" t="s">
        <v>134</v>
      </c>
      <c r="C208" t="s">
        <v>38</v>
      </c>
      <c r="D208" t="s">
        <v>46</v>
      </c>
      <c r="E208" s="1">
        <v>45675</v>
      </c>
    </row>
    <row r="209" spans="1:5" x14ac:dyDescent="0.25">
      <c r="A209" t="s">
        <v>465</v>
      </c>
      <c r="B209" t="s">
        <v>134</v>
      </c>
      <c r="C209" t="s">
        <v>49</v>
      </c>
      <c r="D209" t="s">
        <v>264</v>
      </c>
      <c r="E209" s="1">
        <v>45673</v>
      </c>
    </row>
    <row r="210" spans="1:5" x14ac:dyDescent="0.25">
      <c r="A210" t="s">
        <v>466</v>
      </c>
      <c r="B210" t="s">
        <v>134</v>
      </c>
      <c r="C210" t="s">
        <v>45</v>
      </c>
      <c r="D210" t="s">
        <v>255</v>
      </c>
      <c r="E210" s="1">
        <v>45676</v>
      </c>
    </row>
    <row r="211" spans="1:5" x14ac:dyDescent="0.25">
      <c r="A211" t="s">
        <v>467</v>
      </c>
      <c r="B211" t="s">
        <v>134</v>
      </c>
      <c r="C211" t="s">
        <v>33</v>
      </c>
      <c r="D211" t="s">
        <v>261</v>
      </c>
      <c r="E211" s="1">
        <v>45681</v>
      </c>
    </row>
    <row r="212" spans="1:5" x14ac:dyDescent="0.25">
      <c r="A212" t="s">
        <v>468</v>
      </c>
      <c r="B212" t="s">
        <v>135</v>
      </c>
      <c r="C212" t="s">
        <v>38</v>
      </c>
      <c r="D212" t="s">
        <v>46</v>
      </c>
      <c r="E212" s="1">
        <v>45676</v>
      </c>
    </row>
    <row r="213" spans="1:5" x14ac:dyDescent="0.25">
      <c r="A213" t="s">
        <v>469</v>
      </c>
      <c r="B213" t="s">
        <v>136</v>
      </c>
      <c r="C213" t="s">
        <v>38</v>
      </c>
      <c r="D213" t="s">
        <v>264</v>
      </c>
      <c r="E213" s="1">
        <v>45672</v>
      </c>
    </row>
    <row r="214" spans="1:5" x14ac:dyDescent="0.25">
      <c r="A214" t="s">
        <v>470</v>
      </c>
      <c r="B214" t="s">
        <v>137</v>
      </c>
      <c r="C214" t="s">
        <v>33</v>
      </c>
      <c r="D214" t="s">
        <v>261</v>
      </c>
      <c r="E214" s="1">
        <v>45690</v>
      </c>
    </row>
    <row r="215" spans="1:5" x14ac:dyDescent="0.25">
      <c r="A215" t="s">
        <v>471</v>
      </c>
      <c r="B215" t="s">
        <v>137</v>
      </c>
      <c r="C215" t="s">
        <v>33</v>
      </c>
      <c r="D215" t="s">
        <v>257</v>
      </c>
      <c r="E215" s="1">
        <v>45684</v>
      </c>
    </row>
    <row r="216" spans="1:5" x14ac:dyDescent="0.25">
      <c r="A216" t="s">
        <v>472</v>
      </c>
      <c r="B216" t="s">
        <v>137</v>
      </c>
      <c r="C216" t="s">
        <v>45</v>
      </c>
      <c r="D216" t="s">
        <v>255</v>
      </c>
      <c r="E216" s="1">
        <v>45680</v>
      </c>
    </row>
    <row r="217" spans="1:5" x14ac:dyDescent="0.25">
      <c r="A217" t="s">
        <v>473</v>
      </c>
      <c r="B217" t="s">
        <v>137</v>
      </c>
      <c r="C217" t="s">
        <v>38</v>
      </c>
      <c r="D217" t="s">
        <v>46</v>
      </c>
      <c r="E217" s="1">
        <v>45686</v>
      </c>
    </row>
    <row r="218" spans="1:5" x14ac:dyDescent="0.25">
      <c r="A218" t="s">
        <v>474</v>
      </c>
      <c r="B218" t="s">
        <v>138</v>
      </c>
      <c r="C218" t="s">
        <v>38</v>
      </c>
      <c r="D218" t="s">
        <v>46</v>
      </c>
      <c r="E218" s="1">
        <v>45684</v>
      </c>
    </row>
    <row r="219" spans="1:5" x14ac:dyDescent="0.25">
      <c r="A219" t="s">
        <v>475</v>
      </c>
      <c r="B219" t="s">
        <v>138</v>
      </c>
      <c r="C219" t="s">
        <v>49</v>
      </c>
      <c r="D219" t="s">
        <v>257</v>
      </c>
      <c r="E219" s="1">
        <v>45677</v>
      </c>
    </row>
    <row r="220" spans="1:5" x14ac:dyDescent="0.25">
      <c r="A220" t="s">
        <v>476</v>
      </c>
      <c r="B220" t="s">
        <v>138</v>
      </c>
      <c r="C220" t="s">
        <v>33</v>
      </c>
      <c r="D220" t="s">
        <v>255</v>
      </c>
      <c r="E220" s="1">
        <v>45682</v>
      </c>
    </row>
    <row r="221" spans="1:5" x14ac:dyDescent="0.25">
      <c r="A221" t="s">
        <v>477</v>
      </c>
      <c r="B221" t="s">
        <v>139</v>
      </c>
      <c r="C221" t="s">
        <v>45</v>
      </c>
      <c r="D221" t="s">
        <v>255</v>
      </c>
      <c r="E221" s="1">
        <v>45678</v>
      </c>
    </row>
    <row r="222" spans="1:5" x14ac:dyDescent="0.25">
      <c r="A222" t="s">
        <v>478</v>
      </c>
      <c r="B222" t="s">
        <v>139</v>
      </c>
      <c r="C222" t="s">
        <v>38</v>
      </c>
      <c r="D222" t="s">
        <v>264</v>
      </c>
      <c r="E222" s="1">
        <v>45684</v>
      </c>
    </row>
    <row r="223" spans="1:5" x14ac:dyDescent="0.25">
      <c r="A223" t="s">
        <v>479</v>
      </c>
      <c r="B223" t="s">
        <v>139</v>
      </c>
      <c r="C223" t="s">
        <v>45</v>
      </c>
      <c r="D223" t="s">
        <v>257</v>
      </c>
      <c r="E223" s="1">
        <v>45683</v>
      </c>
    </row>
    <row r="224" spans="1:5" x14ac:dyDescent="0.25">
      <c r="A224" t="s">
        <v>480</v>
      </c>
      <c r="B224" t="s">
        <v>139</v>
      </c>
      <c r="C224" t="s">
        <v>38</v>
      </c>
      <c r="D224" t="s">
        <v>261</v>
      </c>
      <c r="E224" s="1">
        <v>45684</v>
      </c>
    </row>
    <row r="225" spans="1:5" x14ac:dyDescent="0.25">
      <c r="A225" t="s">
        <v>481</v>
      </c>
      <c r="B225" t="s">
        <v>140</v>
      </c>
      <c r="C225" t="s">
        <v>33</v>
      </c>
      <c r="D225" t="s">
        <v>261</v>
      </c>
      <c r="E225" s="1">
        <v>45671</v>
      </c>
    </row>
    <row r="226" spans="1:5" x14ac:dyDescent="0.25">
      <c r="A226" t="s">
        <v>482</v>
      </c>
      <c r="B226" t="s">
        <v>140</v>
      </c>
      <c r="C226" t="s">
        <v>33</v>
      </c>
      <c r="D226" t="s">
        <v>264</v>
      </c>
      <c r="E226" s="1">
        <v>45669</v>
      </c>
    </row>
    <row r="227" spans="1:5" x14ac:dyDescent="0.25">
      <c r="A227" t="s">
        <v>483</v>
      </c>
      <c r="B227" t="s">
        <v>140</v>
      </c>
      <c r="C227" t="s">
        <v>38</v>
      </c>
      <c r="D227" t="s">
        <v>257</v>
      </c>
      <c r="E227" s="1">
        <v>45676</v>
      </c>
    </row>
    <row r="228" spans="1:5" x14ac:dyDescent="0.25">
      <c r="A228" t="s">
        <v>484</v>
      </c>
      <c r="B228" t="s">
        <v>140</v>
      </c>
      <c r="C228" t="s">
        <v>38</v>
      </c>
      <c r="D228" t="s">
        <v>46</v>
      </c>
      <c r="E228" s="1">
        <v>45681</v>
      </c>
    </row>
    <row r="229" spans="1:5" x14ac:dyDescent="0.25">
      <c r="A229" t="s">
        <v>485</v>
      </c>
      <c r="B229" t="s">
        <v>141</v>
      </c>
      <c r="C229" t="s">
        <v>49</v>
      </c>
      <c r="D229" t="s">
        <v>255</v>
      </c>
      <c r="E229" s="1">
        <v>45684</v>
      </c>
    </row>
    <row r="230" spans="1:5" x14ac:dyDescent="0.25">
      <c r="A230" t="s">
        <v>486</v>
      </c>
      <c r="B230" t="s">
        <v>142</v>
      </c>
      <c r="C230" t="s">
        <v>33</v>
      </c>
      <c r="D230" t="s">
        <v>46</v>
      </c>
      <c r="E230" s="1">
        <v>45668</v>
      </c>
    </row>
    <row r="231" spans="1:5" x14ac:dyDescent="0.25">
      <c r="A231" t="s">
        <v>487</v>
      </c>
      <c r="B231" t="s">
        <v>142</v>
      </c>
      <c r="C231" t="s">
        <v>33</v>
      </c>
      <c r="D231" t="s">
        <v>261</v>
      </c>
      <c r="E231" s="1">
        <v>45673</v>
      </c>
    </row>
    <row r="232" spans="1:5" x14ac:dyDescent="0.25">
      <c r="A232" t="s">
        <v>488</v>
      </c>
      <c r="B232" t="s">
        <v>142</v>
      </c>
      <c r="C232" t="s">
        <v>45</v>
      </c>
      <c r="D232" t="s">
        <v>257</v>
      </c>
      <c r="E232" s="1">
        <v>45674</v>
      </c>
    </row>
    <row r="233" spans="1:5" x14ac:dyDescent="0.25">
      <c r="A233" t="s">
        <v>489</v>
      </c>
      <c r="B233" t="s">
        <v>143</v>
      </c>
      <c r="C233" t="s">
        <v>49</v>
      </c>
      <c r="D233" t="s">
        <v>264</v>
      </c>
      <c r="E233" s="1">
        <v>45669</v>
      </c>
    </row>
    <row r="234" spans="1:5" x14ac:dyDescent="0.25">
      <c r="A234" t="s">
        <v>490</v>
      </c>
      <c r="B234" t="s">
        <v>144</v>
      </c>
      <c r="C234" t="s">
        <v>49</v>
      </c>
      <c r="D234" t="s">
        <v>257</v>
      </c>
      <c r="E234" s="1">
        <v>45666</v>
      </c>
    </row>
    <row r="235" spans="1:5" x14ac:dyDescent="0.25">
      <c r="A235" t="s">
        <v>491</v>
      </c>
      <c r="B235" t="s">
        <v>145</v>
      </c>
      <c r="C235" t="s">
        <v>38</v>
      </c>
      <c r="D235" t="s">
        <v>264</v>
      </c>
      <c r="E235" s="1">
        <v>45678</v>
      </c>
    </row>
    <row r="236" spans="1:5" x14ac:dyDescent="0.25">
      <c r="A236" t="s">
        <v>492</v>
      </c>
      <c r="B236" t="s">
        <v>146</v>
      </c>
      <c r="C236" t="s">
        <v>49</v>
      </c>
      <c r="D236" t="s">
        <v>257</v>
      </c>
      <c r="E236" s="1">
        <v>45682</v>
      </c>
    </row>
    <row r="237" spans="1:5" x14ac:dyDescent="0.25">
      <c r="A237" t="s">
        <v>493</v>
      </c>
      <c r="B237" t="s">
        <v>147</v>
      </c>
      <c r="C237" t="s">
        <v>33</v>
      </c>
      <c r="D237" t="s">
        <v>255</v>
      </c>
      <c r="E237" s="1">
        <v>45673</v>
      </c>
    </row>
    <row r="238" spans="1:5" x14ac:dyDescent="0.25">
      <c r="A238" t="s">
        <v>494</v>
      </c>
      <c r="B238" t="s">
        <v>147</v>
      </c>
      <c r="C238" t="s">
        <v>45</v>
      </c>
      <c r="D238" t="s">
        <v>257</v>
      </c>
      <c r="E238" s="1">
        <v>45667</v>
      </c>
    </row>
    <row r="239" spans="1:5" x14ac:dyDescent="0.25">
      <c r="A239" t="s">
        <v>495</v>
      </c>
      <c r="B239" t="s">
        <v>148</v>
      </c>
      <c r="C239" t="s">
        <v>49</v>
      </c>
      <c r="D239" t="s">
        <v>257</v>
      </c>
      <c r="E239" s="1">
        <v>45664</v>
      </c>
    </row>
    <row r="240" spans="1:5" x14ac:dyDescent="0.25">
      <c r="A240" t="s">
        <v>496</v>
      </c>
      <c r="B240" t="s">
        <v>148</v>
      </c>
      <c r="C240" t="s">
        <v>49</v>
      </c>
      <c r="D240" t="s">
        <v>264</v>
      </c>
      <c r="E240" s="1">
        <v>45675</v>
      </c>
    </row>
    <row r="241" spans="1:5" x14ac:dyDescent="0.25">
      <c r="A241" t="s">
        <v>497</v>
      </c>
      <c r="B241" t="s">
        <v>148</v>
      </c>
      <c r="C241" t="s">
        <v>45</v>
      </c>
      <c r="D241" t="s">
        <v>46</v>
      </c>
      <c r="E241" s="1">
        <v>45671</v>
      </c>
    </row>
    <row r="242" spans="1:5" x14ac:dyDescent="0.25">
      <c r="A242" t="s">
        <v>498</v>
      </c>
      <c r="B242" t="s">
        <v>149</v>
      </c>
      <c r="C242" t="s">
        <v>33</v>
      </c>
      <c r="D242" t="s">
        <v>261</v>
      </c>
      <c r="E242" s="1">
        <v>45669</v>
      </c>
    </row>
    <row r="243" spans="1:5" x14ac:dyDescent="0.25">
      <c r="A243" t="s">
        <v>499</v>
      </c>
      <c r="B243" t="s">
        <v>149</v>
      </c>
      <c r="C243" t="s">
        <v>45</v>
      </c>
      <c r="D243" t="s">
        <v>46</v>
      </c>
      <c r="E243" s="1">
        <v>45682</v>
      </c>
    </row>
    <row r="244" spans="1:5" x14ac:dyDescent="0.25">
      <c r="A244" t="s">
        <v>500</v>
      </c>
      <c r="B244" t="s">
        <v>150</v>
      </c>
      <c r="C244" t="s">
        <v>49</v>
      </c>
      <c r="D244" t="s">
        <v>261</v>
      </c>
      <c r="E244" s="1">
        <v>45671</v>
      </c>
    </row>
    <row r="245" spans="1:5" x14ac:dyDescent="0.25">
      <c r="A245" t="s">
        <v>501</v>
      </c>
      <c r="B245" t="s">
        <v>150</v>
      </c>
      <c r="C245" t="s">
        <v>45</v>
      </c>
      <c r="D245" t="s">
        <v>257</v>
      </c>
      <c r="E245" s="1">
        <v>45668</v>
      </c>
    </row>
    <row r="246" spans="1:5" x14ac:dyDescent="0.25">
      <c r="A246" t="s">
        <v>502</v>
      </c>
      <c r="B246" t="s">
        <v>151</v>
      </c>
      <c r="C246" t="s">
        <v>38</v>
      </c>
      <c r="D246" t="s">
        <v>264</v>
      </c>
      <c r="E246" s="1">
        <v>45684</v>
      </c>
    </row>
    <row r="247" spans="1:5" x14ac:dyDescent="0.25">
      <c r="A247" t="s">
        <v>503</v>
      </c>
      <c r="B247" t="s">
        <v>152</v>
      </c>
      <c r="C247" t="s">
        <v>38</v>
      </c>
      <c r="D247" t="s">
        <v>257</v>
      </c>
      <c r="E247" s="1">
        <v>45668</v>
      </c>
    </row>
    <row r="248" spans="1:5" x14ac:dyDescent="0.25">
      <c r="A248" t="s">
        <v>504</v>
      </c>
      <c r="B248" t="s">
        <v>153</v>
      </c>
      <c r="C248" t="s">
        <v>38</v>
      </c>
      <c r="D248" t="s">
        <v>261</v>
      </c>
      <c r="E248" s="1">
        <v>45687</v>
      </c>
    </row>
    <row r="249" spans="1:5" x14ac:dyDescent="0.25">
      <c r="A249" t="s">
        <v>505</v>
      </c>
      <c r="B249" t="s">
        <v>153</v>
      </c>
      <c r="C249" t="s">
        <v>33</v>
      </c>
      <c r="D249" t="s">
        <v>264</v>
      </c>
      <c r="E249" s="1">
        <v>45682</v>
      </c>
    </row>
    <row r="250" spans="1:5" x14ac:dyDescent="0.25">
      <c r="A250" t="s">
        <v>506</v>
      </c>
      <c r="B250" t="s">
        <v>153</v>
      </c>
      <c r="C250" t="s">
        <v>33</v>
      </c>
      <c r="D250" t="s">
        <v>46</v>
      </c>
      <c r="E250" s="1">
        <v>45677</v>
      </c>
    </row>
    <row r="251" spans="1:5" x14ac:dyDescent="0.25">
      <c r="A251" t="s">
        <v>507</v>
      </c>
      <c r="B251" t="s">
        <v>154</v>
      </c>
      <c r="C251" t="s">
        <v>33</v>
      </c>
      <c r="D251" t="s">
        <v>46</v>
      </c>
      <c r="E251" s="1">
        <v>45683</v>
      </c>
    </row>
    <row r="252" spans="1:5" x14ac:dyDescent="0.25">
      <c r="A252" t="s">
        <v>508</v>
      </c>
      <c r="B252" t="s">
        <v>154</v>
      </c>
      <c r="C252" t="s">
        <v>45</v>
      </c>
      <c r="D252" t="s">
        <v>257</v>
      </c>
      <c r="E252" s="1">
        <v>45685</v>
      </c>
    </row>
    <row r="253" spans="1:5" x14ac:dyDescent="0.25">
      <c r="A253" t="s">
        <v>509</v>
      </c>
      <c r="B253" t="s">
        <v>155</v>
      </c>
      <c r="C253" t="s">
        <v>49</v>
      </c>
      <c r="D253" t="s">
        <v>257</v>
      </c>
      <c r="E253" s="1">
        <v>45670</v>
      </c>
    </row>
    <row r="254" spans="1:5" x14ac:dyDescent="0.25">
      <c r="A254" t="s">
        <v>510</v>
      </c>
      <c r="B254" t="s">
        <v>155</v>
      </c>
      <c r="C254" t="s">
        <v>38</v>
      </c>
      <c r="D254" t="s">
        <v>264</v>
      </c>
      <c r="E254" s="1">
        <v>45666</v>
      </c>
    </row>
    <row r="255" spans="1:5" x14ac:dyDescent="0.25">
      <c r="A255" t="s">
        <v>511</v>
      </c>
      <c r="B255" t="s">
        <v>156</v>
      </c>
      <c r="C255" t="s">
        <v>49</v>
      </c>
      <c r="D255" t="s">
        <v>264</v>
      </c>
      <c r="E255" s="1">
        <v>45676</v>
      </c>
    </row>
    <row r="256" spans="1:5" x14ac:dyDescent="0.25">
      <c r="A256" t="s">
        <v>512</v>
      </c>
      <c r="B256" t="s">
        <v>157</v>
      </c>
      <c r="C256" t="s">
        <v>38</v>
      </c>
      <c r="D256" t="s">
        <v>261</v>
      </c>
      <c r="E256" s="1">
        <v>45663</v>
      </c>
    </row>
    <row r="257" spans="1:5" x14ac:dyDescent="0.25">
      <c r="A257" t="s">
        <v>513</v>
      </c>
      <c r="B257" t="s">
        <v>158</v>
      </c>
      <c r="C257" t="s">
        <v>45</v>
      </c>
      <c r="D257" t="s">
        <v>255</v>
      </c>
      <c r="E257" s="1">
        <v>45683</v>
      </c>
    </row>
    <row r="258" spans="1:5" x14ac:dyDescent="0.25">
      <c r="A258" t="s">
        <v>514</v>
      </c>
      <c r="B258" t="s">
        <v>159</v>
      </c>
      <c r="C258" t="s">
        <v>49</v>
      </c>
      <c r="D258" t="s">
        <v>257</v>
      </c>
      <c r="E258" s="1">
        <v>45675</v>
      </c>
    </row>
    <row r="259" spans="1:5" x14ac:dyDescent="0.25">
      <c r="A259" t="s">
        <v>515</v>
      </c>
      <c r="B259" t="s">
        <v>160</v>
      </c>
      <c r="C259" t="s">
        <v>33</v>
      </c>
      <c r="D259" t="s">
        <v>261</v>
      </c>
      <c r="E259" s="1">
        <v>45667</v>
      </c>
    </row>
    <row r="260" spans="1:5" x14ac:dyDescent="0.25">
      <c r="A260" t="s">
        <v>516</v>
      </c>
      <c r="B260" t="s">
        <v>160</v>
      </c>
      <c r="C260" t="s">
        <v>33</v>
      </c>
      <c r="D260" t="s">
        <v>257</v>
      </c>
      <c r="E260" s="1">
        <v>45673</v>
      </c>
    </row>
    <row r="261" spans="1:5" x14ac:dyDescent="0.25">
      <c r="A261" t="s">
        <v>517</v>
      </c>
      <c r="B261" t="s">
        <v>160</v>
      </c>
      <c r="C261" t="s">
        <v>49</v>
      </c>
      <c r="D261" t="s">
        <v>255</v>
      </c>
      <c r="E261" s="1">
        <v>45667</v>
      </c>
    </row>
    <row r="262" spans="1:5" x14ac:dyDescent="0.25">
      <c r="A262" t="s">
        <v>518</v>
      </c>
      <c r="B262" t="s">
        <v>160</v>
      </c>
      <c r="C262" t="s">
        <v>49</v>
      </c>
      <c r="D262" t="s">
        <v>46</v>
      </c>
      <c r="E262" s="1">
        <v>45673</v>
      </c>
    </row>
    <row r="263" spans="1:5" x14ac:dyDescent="0.25">
      <c r="A263" t="s">
        <v>519</v>
      </c>
      <c r="B263" t="s">
        <v>161</v>
      </c>
      <c r="C263" t="s">
        <v>33</v>
      </c>
      <c r="D263" t="s">
        <v>46</v>
      </c>
      <c r="E263" s="1">
        <v>45673</v>
      </c>
    </row>
    <row r="264" spans="1:5" x14ac:dyDescent="0.25">
      <c r="A264" t="s">
        <v>520</v>
      </c>
      <c r="B264" t="s">
        <v>161</v>
      </c>
      <c r="C264" t="s">
        <v>49</v>
      </c>
      <c r="D264" t="s">
        <v>264</v>
      </c>
      <c r="E264" s="1">
        <v>45671</v>
      </c>
    </row>
    <row r="265" spans="1:5" x14ac:dyDescent="0.25">
      <c r="A265" t="s">
        <v>521</v>
      </c>
      <c r="B265" t="s">
        <v>161</v>
      </c>
      <c r="C265" t="s">
        <v>38</v>
      </c>
      <c r="D265" t="s">
        <v>255</v>
      </c>
      <c r="E265" s="1">
        <v>45667</v>
      </c>
    </row>
    <row r="266" spans="1:5" x14ac:dyDescent="0.25">
      <c r="A266" t="s">
        <v>522</v>
      </c>
      <c r="B266" t="s">
        <v>162</v>
      </c>
      <c r="C266" t="s">
        <v>33</v>
      </c>
      <c r="D266" t="s">
        <v>46</v>
      </c>
      <c r="E266" s="1">
        <v>45679</v>
      </c>
    </row>
    <row r="267" spans="1:5" x14ac:dyDescent="0.25">
      <c r="A267" t="s">
        <v>523</v>
      </c>
      <c r="B267" t="s">
        <v>162</v>
      </c>
      <c r="C267" t="s">
        <v>45</v>
      </c>
      <c r="D267" t="s">
        <v>255</v>
      </c>
      <c r="E267" s="1">
        <v>45680</v>
      </c>
    </row>
    <row r="268" spans="1:5" x14ac:dyDescent="0.25">
      <c r="A268" t="s">
        <v>524</v>
      </c>
      <c r="B268" t="s">
        <v>163</v>
      </c>
      <c r="C268" t="s">
        <v>38</v>
      </c>
      <c r="D268" t="s">
        <v>257</v>
      </c>
      <c r="E268" s="1">
        <v>45679</v>
      </c>
    </row>
    <row r="269" spans="1:5" x14ac:dyDescent="0.25">
      <c r="A269" t="s">
        <v>525</v>
      </c>
      <c r="B269" t="s">
        <v>164</v>
      </c>
      <c r="C269" t="s">
        <v>49</v>
      </c>
      <c r="D269" t="s">
        <v>255</v>
      </c>
      <c r="E269" s="1">
        <v>45686</v>
      </c>
    </row>
    <row r="270" spans="1:5" x14ac:dyDescent="0.25">
      <c r="A270" t="s">
        <v>526</v>
      </c>
      <c r="B270" t="s">
        <v>165</v>
      </c>
      <c r="C270" t="s">
        <v>38</v>
      </c>
      <c r="D270" t="s">
        <v>264</v>
      </c>
      <c r="E270" s="1">
        <v>45686</v>
      </c>
    </row>
    <row r="271" spans="1:5" x14ac:dyDescent="0.25">
      <c r="A271" t="s">
        <v>527</v>
      </c>
      <c r="B271" t="s">
        <v>165</v>
      </c>
      <c r="C271" t="s">
        <v>49</v>
      </c>
      <c r="D271" t="s">
        <v>257</v>
      </c>
      <c r="E271" s="1">
        <v>45683</v>
      </c>
    </row>
    <row r="272" spans="1:5" x14ac:dyDescent="0.25">
      <c r="A272" t="s">
        <v>528</v>
      </c>
      <c r="B272" t="s">
        <v>165</v>
      </c>
      <c r="C272" t="s">
        <v>49</v>
      </c>
      <c r="D272" t="s">
        <v>255</v>
      </c>
      <c r="E272" s="1">
        <v>45685</v>
      </c>
    </row>
    <row r="273" spans="1:5" x14ac:dyDescent="0.25">
      <c r="A273" t="s">
        <v>529</v>
      </c>
      <c r="B273" t="s">
        <v>166</v>
      </c>
      <c r="C273" t="s">
        <v>49</v>
      </c>
      <c r="D273" t="s">
        <v>46</v>
      </c>
      <c r="E273" s="1">
        <v>45669</v>
      </c>
    </row>
    <row r="274" spans="1:5" x14ac:dyDescent="0.25">
      <c r="A274" t="s">
        <v>530</v>
      </c>
      <c r="B274" t="s">
        <v>167</v>
      </c>
      <c r="C274" t="s">
        <v>33</v>
      </c>
      <c r="D274" t="s">
        <v>257</v>
      </c>
      <c r="E274" s="1">
        <v>45680</v>
      </c>
    </row>
    <row r="275" spans="1:5" x14ac:dyDescent="0.25">
      <c r="A275" t="s">
        <v>531</v>
      </c>
      <c r="B275" t="s">
        <v>168</v>
      </c>
      <c r="C275" t="s">
        <v>33</v>
      </c>
      <c r="D275" t="s">
        <v>255</v>
      </c>
      <c r="E275" s="1">
        <v>45675</v>
      </c>
    </row>
    <row r="276" spans="1:5" x14ac:dyDescent="0.25">
      <c r="A276" t="s">
        <v>532</v>
      </c>
      <c r="B276" t="s">
        <v>169</v>
      </c>
      <c r="C276" t="s">
        <v>33</v>
      </c>
      <c r="D276" t="s">
        <v>255</v>
      </c>
      <c r="E276" s="1">
        <v>45667</v>
      </c>
    </row>
    <row r="277" spans="1:5" x14ac:dyDescent="0.25">
      <c r="A277" t="s">
        <v>533</v>
      </c>
      <c r="B277" t="s">
        <v>170</v>
      </c>
      <c r="C277" t="s">
        <v>45</v>
      </c>
      <c r="D277" t="s">
        <v>255</v>
      </c>
      <c r="E277" s="1">
        <v>45675</v>
      </c>
    </row>
    <row r="278" spans="1:5" x14ac:dyDescent="0.25">
      <c r="A278" t="s">
        <v>534</v>
      </c>
      <c r="B278" t="s">
        <v>170</v>
      </c>
      <c r="C278" t="s">
        <v>49</v>
      </c>
      <c r="D278" t="s">
        <v>264</v>
      </c>
      <c r="E278" s="1">
        <v>45671</v>
      </c>
    </row>
    <row r="279" spans="1:5" x14ac:dyDescent="0.25">
      <c r="A279" t="s">
        <v>535</v>
      </c>
      <c r="B279" t="s">
        <v>170</v>
      </c>
      <c r="C279" t="s">
        <v>45</v>
      </c>
      <c r="D279" t="s">
        <v>261</v>
      </c>
      <c r="E279" s="1">
        <v>45671</v>
      </c>
    </row>
    <row r="280" spans="1:5" x14ac:dyDescent="0.25">
      <c r="A280" t="s">
        <v>536</v>
      </c>
      <c r="B280" t="s">
        <v>171</v>
      </c>
      <c r="C280" t="s">
        <v>49</v>
      </c>
      <c r="D280" t="s">
        <v>264</v>
      </c>
      <c r="E280" s="1">
        <v>45673</v>
      </c>
    </row>
    <row r="281" spans="1:5" x14ac:dyDescent="0.25">
      <c r="A281" t="s">
        <v>537</v>
      </c>
      <c r="B281" t="s">
        <v>171</v>
      </c>
      <c r="C281" t="s">
        <v>33</v>
      </c>
      <c r="D281" t="s">
        <v>257</v>
      </c>
      <c r="E281" s="1">
        <v>45670</v>
      </c>
    </row>
    <row r="282" spans="1:5" x14ac:dyDescent="0.25">
      <c r="A282" t="s">
        <v>538</v>
      </c>
      <c r="B282" t="s">
        <v>171</v>
      </c>
      <c r="C282" t="s">
        <v>33</v>
      </c>
      <c r="D282" t="s">
        <v>46</v>
      </c>
      <c r="E282" s="1">
        <v>45663</v>
      </c>
    </row>
    <row r="283" spans="1:5" x14ac:dyDescent="0.25">
      <c r="A283" t="s">
        <v>539</v>
      </c>
      <c r="B283" t="s">
        <v>172</v>
      </c>
      <c r="C283" t="s">
        <v>49</v>
      </c>
      <c r="D283" t="s">
        <v>255</v>
      </c>
      <c r="E283" s="1">
        <v>45682</v>
      </c>
    </row>
    <row r="284" spans="1:5" x14ac:dyDescent="0.25">
      <c r="A284" t="s">
        <v>540</v>
      </c>
      <c r="B284" t="s">
        <v>173</v>
      </c>
      <c r="C284" t="s">
        <v>38</v>
      </c>
      <c r="D284" t="s">
        <v>257</v>
      </c>
      <c r="E284" s="1">
        <v>45683</v>
      </c>
    </row>
    <row r="285" spans="1:5" x14ac:dyDescent="0.25">
      <c r="A285" t="s">
        <v>541</v>
      </c>
      <c r="B285" t="s">
        <v>173</v>
      </c>
      <c r="C285" t="s">
        <v>33</v>
      </c>
      <c r="D285" t="s">
        <v>46</v>
      </c>
      <c r="E285" s="1">
        <v>45673</v>
      </c>
    </row>
    <row r="286" spans="1:5" x14ac:dyDescent="0.25">
      <c r="A286" t="s">
        <v>542</v>
      </c>
      <c r="B286" t="s">
        <v>173</v>
      </c>
      <c r="C286" t="s">
        <v>45</v>
      </c>
      <c r="D286" t="s">
        <v>261</v>
      </c>
      <c r="E286" s="1">
        <v>45683</v>
      </c>
    </row>
    <row r="287" spans="1:5" x14ac:dyDescent="0.25">
      <c r="A287" t="s">
        <v>543</v>
      </c>
      <c r="B287" t="s">
        <v>173</v>
      </c>
      <c r="C287" t="s">
        <v>38</v>
      </c>
      <c r="D287" t="s">
        <v>264</v>
      </c>
      <c r="E287" s="1">
        <v>45680</v>
      </c>
    </row>
    <row r="288" spans="1:5" x14ac:dyDescent="0.25">
      <c r="A288" t="s">
        <v>544</v>
      </c>
      <c r="B288" t="s">
        <v>174</v>
      </c>
      <c r="C288" t="s">
        <v>33</v>
      </c>
      <c r="D288" t="s">
        <v>257</v>
      </c>
      <c r="E288" s="1">
        <v>45676</v>
      </c>
    </row>
    <row r="289" spans="1:5" x14ac:dyDescent="0.25">
      <c r="A289" t="s">
        <v>545</v>
      </c>
      <c r="B289" t="s">
        <v>174</v>
      </c>
      <c r="C289" t="s">
        <v>33</v>
      </c>
      <c r="D289" t="s">
        <v>264</v>
      </c>
      <c r="E289" s="1">
        <v>45674</v>
      </c>
    </row>
    <row r="290" spans="1:5" x14ac:dyDescent="0.25">
      <c r="A290" t="s">
        <v>546</v>
      </c>
      <c r="B290" t="s">
        <v>174</v>
      </c>
      <c r="C290" t="s">
        <v>33</v>
      </c>
      <c r="D290" t="s">
        <v>261</v>
      </c>
      <c r="E290" s="1">
        <v>45678</v>
      </c>
    </row>
    <row r="291" spans="1:5" x14ac:dyDescent="0.25">
      <c r="A291" t="s">
        <v>547</v>
      </c>
      <c r="B291" t="s">
        <v>174</v>
      </c>
      <c r="C291" t="s">
        <v>38</v>
      </c>
      <c r="D291" t="s">
        <v>46</v>
      </c>
      <c r="E291" s="1">
        <v>45677</v>
      </c>
    </row>
    <row r="292" spans="1:5" x14ac:dyDescent="0.25">
      <c r="A292" t="s">
        <v>548</v>
      </c>
      <c r="B292" t="s">
        <v>175</v>
      </c>
      <c r="C292" t="s">
        <v>38</v>
      </c>
      <c r="D292" t="s">
        <v>257</v>
      </c>
      <c r="E292" s="1">
        <v>45688</v>
      </c>
    </row>
    <row r="293" spans="1:5" x14ac:dyDescent="0.25">
      <c r="A293" t="s">
        <v>549</v>
      </c>
      <c r="B293" t="s">
        <v>175</v>
      </c>
      <c r="C293" t="s">
        <v>45</v>
      </c>
      <c r="D293" t="s">
        <v>46</v>
      </c>
      <c r="E293" s="1">
        <v>45683</v>
      </c>
    </row>
    <row r="294" spans="1:5" x14ac:dyDescent="0.25">
      <c r="A294" t="s">
        <v>550</v>
      </c>
      <c r="B294" t="s">
        <v>175</v>
      </c>
      <c r="C294" t="s">
        <v>49</v>
      </c>
      <c r="D294" t="s">
        <v>264</v>
      </c>
      <c r="E294" s="1">
        <v>45679</v>
      </c>
    </row>
    <row r="295" spans="1:5" x14ac:dyDescent="0.25">
      <c r="A295" t="s">
        <v>551</v>
      </c>
      <c r="B295" t="s">
        <v>175</v>
      </c>
      <c r="C295" t="s">
        <v>45</v>
      </c>
      <c r="D295" t="s">
        <v>261</v>
      </c>
      <c r="E295" s="1">
        <v>45681</v>
      </c>
    </row>
    <row r="296" spans="1:5" x14ac:dyDescent="0.25">
      <c r="A296" t="s">
        <v>552</v>
      </c>
      <c r="B296" t="s">
        <v>176</v>
      </c>
      <c r="C296" t="s">
        <v>38</v>
      </c>
      <c r="D296" t="s">
        <v>261</v>
      </c>
      <c r="E296" s="1">
        <v>45677</v>
      </c>
    </row>
    <row r="297" spans="1:5" x14ac:dyDescent="0.25">
      <c r="A297" t="s">
        <v>553</v>
      </c>
      <c r="B297" t="s">
        <v>176</v>
      </c>
      <c r="C297" t="s">
        <v>45</v>
      </c>
      <c r="D297" t="s">
        <v>264</v>
      </c>
      <c r="E297" s="1">
        <v>45684</v>
      </c>
    </row>
    <row r="298" spans="1:5" x14ac:dyDescent="0.25">
      <c r="A298" t="s">
        <v>554</v>
      </c>
      <c r="B298" t="s">
        <v>176</v>
      </c>
      <c r="C298" t="s">
        <v>33</v>
      </c>
      <c r="D298" t="s">
        <v>255</v>
      </c>
      <c r="E298" s="1">
        <v>45679</v>
      </c>
    </row>
    <row r="299" spans="1:5" x14ac:dyDescent="0.25">
      <c r="A299" t="s">
        <v>555</v>
      </c>
      <c r="B299" t="s">
        <v>176</v>
      </c>
      <c r="C299" t="s">
        <v>38</v>
      </c>
      <c r="D299" t="s">
        <v>46</v>
      </c>
      <c r="E299" s="1">
        <v>45684</v>
      </c>
    </row>
    <row r="300" spans="1:5" x14ac:dyDescent="0.25">
      <c r="A300" t="s">
        <v>556</v>
      </c>
      <c r="B300" t="s">
        <v>177</v>
      </c>
      <c r="C300" t="s">
        <v>38</v>
      </c>
      <c r="D300" t="s">
        <v>264</v>
      </c>
      <c r="E300" s="1">
        <v>45665</v>
      </c>
    </row>
    <row r="301" spans="1:5" x14ac:dyDescent="0.25">
      <c r="A301" t="s">
        <v>557</v>
      </c>
      <c r="B301" t="s">
        <v>177</v>
      </c>
      <c r="C301" t="s">
        <v>38</v>
      </c>
      <c r="D301" t="s">
        <v>261</v>
      </c>
      <c r="E301" s="1">
        <v>45676</v>
      </c>
    </row>
    <row r="302" spans="1:5" x14ac:dyDescent="0.25">
      <c r="A302" t="s">
        <v>558</v>
      </c>
      <c r="B302" t="s">
        <v>177</v>
      </c>
      <c r="C302" t="s">
        <v>49</v>
      </c>
      <c r="D302" t="s">
        <v>46</v>
      </c>
      <c r="E302" s="1">
        <v>45672</v>
      </c>
    </row>
    <row r="303" spans="1:5" x14ac:dyDescent="0.25">
      <c r="A303" t="s">
        <v>559</v>
      </c>
      <c r="B303" t="s">
        <v>178</v>
      </c>
      <c r="C303" t="s">
        <v>45</v>
      </c>
      <c r="D303" t="s">
        <v>257</v>
      </c>
      <c r="E303" s="1">
        <v>45676</v>
      </c>
    </row>
    <row r="304" spans="1:5" x14ac:dyDescent="0.25">
      <c r="A304" t="s">
        <v>560</v>
      </c>
      <c r="B304" t="s">
        <v>179</v>
      </c>
      <c r="C304" t="s">
        <v>38</v>
      </c>
      <c r="D304" t="s">
        <v>257</v>
      </c>
      <c r="E304" s="1">
        <v>45672</v>
      </c>
    </row>
    <row r="305" spans="1:5" x14ac:dyDescent="0.25">
      <c r="A305" t="s">
        <v>561</v>
      </c>
      <c r="B305" t="s">
        <v>179</v>
      </c>
      <c r="C305" t="s">
        <v>33</v>
      </c>
      <c r="D305" t="s">
        <v>264</v>
      </c>
      <c r="E305" s="1">
        <v>45667</v>
      </c>
    </row>
    <row r="306" spans="1:5" x14ac:dyDescent="0.25">
      <c r="A306" t="s">
        <v>562</v>
      </c>
      <c r="B306" t="s">
        <v>180</v>
      </c>
      <c r="C306" t="s">
        <v>33</v>
      </c>
      <c r="D306" t="s">
        <v>255</v>
      </c>
      <c r="E306" s="1">
        <v>45670</v>
      </c>
    </row>
    <row r="307" spans="1:5" x14ac:dyDescent="0.25">
      <c r="A307" t="s">
        <v>563</v>
      </c>
      <c r="B307" t="s">
        <v>180</v>
      </c>
      <c r="C307" t="s">
        <v>45</v>
      </c>
      <c r="D307" t="s">
        <v>257</v>
      </c>
      <c r="E307" s="1">
        <v>45680</v>
      </c>
    </row>
    <row r="308" spans="1:5" x14ac:dyDescent="0.25">
      <c r="A308" t="s">
        <v>564</v>
      </c>
      <c r="B308" t="s">
        <v>180</v>
      </c>
      <c r="C308" t="s">
        <v>49</v>
      </c>
      <c r="D308" t="s">
        <v>261</v>
      </c>
      <c r="E308" s="1">
        <v>45680</v>
      </c>
    </row>
    <row r="309" spans="1:5" x14ac:dyDescent="0.25">
      <c r="A309" t="s">
        <v>565</v>
      </c>
      <c r="B309" t="s">
        <v>180</v>
      </c>
      <c r="C309" t="s">
        <v>45</v>
      </c>
      <c r="D309" t="s">
        <v>264</v>
      </c>
      <c r="E309" s="1">
        <v>45672</v>
      </c>
    </row>
    <row r="310" spans="1:5" x14ac:dyDescent="0.25">
      <c r="A310" t="s">
        <v>566</v>
      </c>
      <c r="B310" t="s">
        <v>181</v>
      </c>
      <c r="C310" t="s">
        <v>38</v>
      </c>
      <c r="D310" t="s">
        <v>257</v>
      </c>
      <c r="E310" s="1">
        <v>45662</v>
      </c>
    </row>
    <row r="311" spans="1:5" x14ac:dyDescent="0.25">
      <c r="A311" t="s">
        <v>567</v>
      </c>
      <c r="B311" t="s">
        <v>182</v>
      </c>
      <c r="C311" t="s">
        <v>33</v>
      </c>
      <c r="D311" t="s">
        <v>257</v>
      </c>
      <c r="E311" s="1">
        <v>45665</v>
      </c>
    </row>
    <row r="312" spans="1:5" x14ac:dyDescent="0.25">
      <c r="A312" t="s">
        <v>568</v>
      </c>
      <c r="B312" t="s">
        <v>183</v>
      </c>
      <c r="C312" t="s">
        <v>38</v>
      </c>
      <c r="D312" t="s">
        <v>264</v>
      </c>
      <c r="E312" s="1">
        <v>45677</v>
      </c>
    </row>
    <row r="313" spans="1:5" x14ac:dyDescent="0.25">
      <c r="A313" t="s">
        <v>569</v>
      </c>
      <c r="B313" t="s">
        <v>183</v>
      </c>
      <c r="C313" t="s">
        <v>38</v>
      </c>
      <c r="D313" t="s">
        <v>255</v>
      </c>
      <c r="E313" s="1">
        <v>45682</v>
      </c>
    </row>
    <row r="314" spans="1:5" x14ac:dyDescent="0.25">
      <c r="A314" t="s">
        <v>570</v>
      </c>
      <c r="B314" t="s">
        <v>184</v>
      </c>
      <c r="C314" t="s">
        <v>45</v>
      </c>
      <c r="D314" t="s">
        <v>46</v>
      </c>
      <c r="E314" s="1">
        <v>45666</v>
      </c>
    </row>
    <row r="315" spans="1:5" x14ac:dyDescent="0.25">
      <c r="A315" t="s">
        <v>571</v>
      </c>
      <c r="B315" t="s">
        <v>184</v>
      </c>
      <c r="C315" t="s">
        <v>33</v>
      </c>
      <c r="D315" t="s">
        <v>261</v>
      </c>
      <c r="E315" s="1">
        <v>45674</v>
      </c>
    </row>
    <row r="316" spans="1:5" x14ac:dyDescent="0.25">
      <c r="A316" t="s">
        <v>572</v>
      </c>
      <c r="B316" t="s">
        <v>184</v>
      </c>
      <c r="C316" t="s">
        <v>49</v>
      </c>
      <c r="D316" t="s">
        <v>264</v>
      </c>
      <c r="E316" s="1">
        <v>45670</v>
      </c>
    </row>
    <row r="317" spans="1:5" x14ac:dyDescent="0.25">
      <c r="A317" t="s">
        <v>573</v>
      </c>
      <c r="B317" t="s">
        <v>184</v>
      </c>
      <c r="C317" t="s">
        <v>49</v>
      </c>
      <c r="D317" t="s">
        <v>257</v>
      </c>
      <c r="E317" s="1">
        <v>45673</v>
      </c>
    </row>
    <row r="318" spans="1:5" x14ac:dyDescent="0.25">
      <c r="A318" t="s">
        <v>574</v>
      </c>
      <c r="B318" t="s">
        <v>185</v>
      </c>
      <c r="C318" t="s">
        <v>45</v>
      </c>
      <c r="D318" t="s">
        <v>261</v>
      </c>
      <c r="E318" s="1">
        <v>45677</v>
      </c>
    </row>
    <row r="319" spans="1:5" x14ac:dyDescent="0.25">
      <c r="A319" t="s">
        <v>575</v>
      </c>
      <c r="B319" t="s">
        <v>185</v>
      </c>
      <c r="C319" t="s">
        <v>38</v>
      </c>
      <c r="D319" t="s">
        <v>255</v>
      </c>
      <c r="E319" s="1">
        <v>45684</v>
      </c>
    </row>
    <row r="320" spans="1:5" x14ac:dyDescent="0.25">
      <c r="A320" t="s">
        <v>576</v>
      </c>
      <c r="B320" t="s">
        <v>186</v>
      </c>
      <c r="C320" t="s">
        <v>33</v>
      </c>
      <c r="D320" t="s">
        <v>257</v>
      </c>
      <c r="E320" s="1">
        <v>45672</v>
      </c>
    </row>
    <row r="321" spans="1:5" x14ac:dyDescent="0.25">
      <c r="A321" t="s">
        <v>577</v>
      </c>
      <c r="B321" t="s">
        <v>186</v>
      </c>
      <c r="C321" t="s">
        <v>45</v>
      </c>
      <c r="D321" t="s">
        <v>46</v>
      </c>
      <c r="E321" s="1">
        <v>45681</v>
      </c>
    </row>
    <row r="322" spans="1:5" x14ac:dyDescent="0.25">
      <c r="A322" t="s">
        <v>578</v>
      </c>
      <c r="B322" t="s">
        <v>186</v>
      </c>
      <c r="C322" t="s">
        <v>33</v>
      </c>
      <c r="D322" t="s">
        <v>255</v>
      </c>
      <c r="E322" s="1">
        <v>45677</v>
      </c>
    </row>
    <row r="323" spans="1:5" x14ac:dyDescent="0.25">
      <c r="A323" t="s">
        <v>579</v>
      </c>
      <c r="B323" t="s">
        <v>186</v>
      </c>
      <c r="C323" t="s">
        <v>45</v>
      </c>
      <c r="D323" t="s">
        <v>261</v>
      </c>
      <c r="E323" s="1">
        <v>45686</v>
      </c>
    </row>
    <row r="324" spans="1:5" x14ac:dyDescent="0.25">
      <c r="A324" t="s">
        <v>580</v>
      </c>
      <c r="B324" t="s">
        <v>187</v>
      </c>
      <c r="C324" t="s">
        <v>38</v>
      </c>
      <c r="D324" t="s">
        <v>255</v>
      </c>
      <c r="E324" s="1">
        <v>45681</v>
      </c>
    </row>
    <row r="325" spans="1:5" x14ac:dyDescent="0.25">
      <c r="A325" t="s">
        <v>581</v>
      </c>
      <c r="B325" t="s">
        <v>188</v>
      </c>
      <c r="C325" t="s">
        <v>49</v>
      </c>
      <c r="D325" t="s">
        <v>46</v>
      </c>
      <c r="E325" s="1">
        <v>45678</v>
      </c>
    </row>
    <row r="326" spans="1:5" x14ac:dyDescent="0.25">
      <c r="A326" t="s">
        <v>582</v>
      </c>
      <c r="B326" t="s">
        <v>188</v>
      </c>
      <c r="C326" t="s">
        <v>33</v>
      </c>
      <c r="D326" t="s">
        <v>261</v>
      </c>
      <c r="E326" s="1">
        <v>45685</v>
      </c>
    </row>
    <row r="327" spans="1:5" x14ac:dyDescent="0.25">
      <c r="A327" t="s">
        <v>583</v>
      </c>
      <c r="B327" t="s">
        <v>188</v>
      </c>
      <c r="C327" t="s">
        <v>45</v>
      </c>
      <c r="D327" t="s">
        <v>257</v>
      </c>
      <c r="E327" s="1">
        <v>45674</v>
      </c>
    </row>
    <row r="328" spans="1:5" x14ac:dyDescent="0.25">
      <c r="A328" t="s">
        <v>584</v>
      </c>
      <c r="B328" t="s">
        <v>189</v>
      </c>
      <c r="C328" t="s">
        <v>33</v>
      </c>
      <c r="D328" t="s">
        <v>255</v>
      </c>
      <c r="E328" s="1">
        <v>45673</v>
      </c>
    </row>
    <row r="329" spans="1:5" x14ac:dyDescent="0.25">
      <c r="A329" t="s">
        <v>585</v>
      </c>
      <c r="B329" t="s">
        <v>190</v>
      </c>
      <c r="C329" t="s">
        <v>45</v>
      </c>
      <c r="D329" t="s">
        <v>261</v>
      </c>
      <c r="E329" s="1">
        <v>45686</v>
      </c>
    </row>
    <row r="330" spans="1:5" x14ac:dyDescent="0.25">
      <c r="A330" t="s">
        <v>586</v>
      </c>
      <c r="B330" t="s">
        <v>190</v>
      </c>
      <c r="C330" t="s">
        <v>33</v>
      </c>
      <c r="D330" t="s">
        <v>255</v>
      </c>
      <c r="E330" s="1">
        <v>45685</v>
      </c>
    </row>
    <row r="331" spans="1:5" x14ac:dyDescent="0.25">
      <c r="A331" t="s">
        <v>587</v>
      </c>
      <c r="B331" t="s">
        <v>190</v>
      </c>
      <c r="C331" t="s">
        <v>45</v>
      </c>
      <c r="D331" t="s">
        <v>264</v>
      </c>
      <c r="E331" s="1">
        <v>45686</v>
      </c>
    </row>
    <row r="332" spans="1:5" x14ac:dyDescent="0.25">
      <c r="A332" t="s">
        <v>588</v>
      </c>
      <c r="B332" t="s">
        <v>191</v>
      </c>
      <c r="C332" t="s">
        <v>45</v>
      </c>
      <c r="D332" t="s">
        <v>264</v>
      </c>
      <c r="E332" s="1">
        <v>45670</v>
      </c>
    </row>
    <row r="333" spans="1:5" x14ac:dyDescent="0.25">
      <c r="A333" t="s">
        <v>589</v>
      </c>
      <c r="B333" t="s">
        <v>192</v>
      </c>
      <c r="C333" t="s">
        <v>33</v>
      </c>
      <c r="D333" t="s">
        <v>46</v>
      </c>
      <c r="E333" s="1">
        <v>45691</v>
      </c>
    </row>
    <row r="334" spans="1:5" x14ac:dyDescent="0.25">
      <c r="A334" t="s">
        <v>590</v>
      </c>
      <c r="B334" t="s">
        <v>193</v>
      </c>
      <c r="C334" t="s">
        <v>49</v>
      </c>
      <c r="D334" t="s">
        <v>255</v>
      </c>
      <c r="E334" s="1">
        <v>45671</v>
      </c>
    </row>
    <row r="335" spans="1:5" x14ac:dyDescent="0.25">
      <c r="A335" t="s">
        <v>591</v>
      </c>
      <c r="B335" t="s">
        <v>193</v>
      </c>
      <c r="C335" t="s">
        <v>45</v>
      </c>
      <c r="D335" t="s">
        <v>261</v>
      </c>
      <c r="E335" s="1">
        <v>45677</v>
      </c>
    </row>
    <row r="336" spans="1:5" x14ac:dyDescent="0.25">
      <c r="A336" t="s">
        <v>592</v>
      </c>
      <c r="B336" t="s">
        <v>193</v>
      </c>
      <c r="C336" t="s">
        <v>33</v>
      </c>
      <c r="D336" t="s">
        <v>46</v>
      </c>
      <c r="E336" s="1">
        <v>45674</v>
      </c>
    </row>
    <row r="337" spans="1:5" x14ac:dyDescent="0.25">
      <c r="A337" t="s">
        <v>593</v>
      </c>
      <c r="B337" t="s">
        <v>194</v>
      </c>
      <c r="C337" t="s">
        <v>49</v>
      </c>
      <c r="D337" t="s">
        <v>255</v>
      </c>
      <c r="E337" s="1">
        <v>45684</v>
      </c>
    </row>
    <row r="338" spans="1:5" x14ac:dyDescent="0.25">
      <c r="A338" t="s">
        <v>594</v>
      </c>
      <c r="B338" t="s">
        <v>194</v>
      </c>
      <c r="C338" t="s">
        <v>38</v>
      </c>
      <c r="D338" t="s">
        <v>257</v>
      </c>
      <c r="E338" s="1">
        <v>45674</v>
      </c>
    </row>
    <row r="339" spans="1:5" x14ac:dyDescent="0.25">
      <c r="A339" t="s">
        <v>595</v>
      </c>
      <c r="B339" t="s">
        <v>194</v>
      </c>
      <c r="C339" t="s">
        <v>49</v>
      </c>
      <c r="D339" t="s">
        <v>261</v>
      </c>
      <c r="E339" s="1">
        <v>45680</v>
      </c>
    </row>
    <row r="340" spans="1:5" x14ac:dyDescent="0.25">
      <c r="A340" t="s">
        <v>596</v>
      </c>
      <c r="B340" t="s">
        <v>195</v>
      </c>
      <c r="C340" t="s">
        <v>49</v>
      </c>
      <c r="D340" t="s">
        <v>46</v>
      </c>
      <c r="E340" s="1">
        <v>45675</v>
      </c>
    </row>
    <row r="341" spans="1:5" x14ac:dyDescent="0.25">
      <c r="A341" t="s">
        <v>597</v>
      </c>
      <c r="B341" t="s">
        <v>196</v>
      </c>
      <c r="C341" t="s">
        <v>45</v>
      </c>
      <c r="D341" t="s">
        <v>261</v>
      </c>
      <c r="E341" s="1">
        <v>45666</v>
      </c>
    </row>
    <row r="342" spans="1:5" x14ac:dyDescent="0.25">
      <c r="A342" t="s">
        <v>598</v>
      </c>
      <c r="B342" t="s">
        <v>196</v>
      </c>
      <c r="C342" t="s">
        <v>38</v>
      </c>
      <c r="D342" t="s">
        <v>46</v>
      </c>
      <c r="E342" s="1">
        <v>45675</v>
      </c>
    </row>
    <row r="343" spans="1:5" x14ac:dyDescent="0.25">
      <c r="A343" t="s">
        <v>599</v>
      </c>
      <c r="B343" t="s">
        <v>196</v>
      </c>
      <c r="C343" t="s">
        <v>38</v>
      </c>
      <c r="D343" t="s">
        <v>255</v>
      </c>
      <c r="E343" s="1">
        <v>45677</v>
      </c>
    </row>
    <row r="344" spans="1:5" x14ac:dyDescent="0.25">
      <c r="A344" t="s">
        <v>600</v>
      </c>
      <c r="B344" t="s">
        <v>196</v>
      </c>
      <c r="C344" t="s">
        <v>33</v>
      </c>
      <c r="D344" t="s">
        <v>264</v>
      </c>
      <c r="E344" s="1">
        <v>45678</v>
      </c>
    </row>
    <row r="345" spans="1:5" x14ac:dyDescent="0.25">
      <c r="A345" t="s">
        <v>601</v>
      </c>
      <c r="B345" t="s">
        <v>197</v>
      </c>
      <c r="C345" t="s">
        <v>45</v>
      </c>
      <c r="D345" t="s">
        <v>264</v>
      </c>
      <c r="E345" s="1">
        <v>45686</v>
      </c>
    </row>
    <row r="346" spans="1:5" x14ac:dyDescent="0.25">
      <c r="A346" t="s">
        <v>602</v>
      </c>
      <c r="B346" t="s">
        <v>198</v>
      </c>
      <c r="C346" t="s">
        <v>49</v>
      </c>
      <c r="D346" t="s">
        <v>257</v>
      </c>
      <c r="E346" s="1">
        <v>45676</v>
      </c>
    </row>
    <row r="347" spans="1:5" x14ac:dyDescent="0.25">
      <c r="A347" t="s">
        <v>603</v>
      </c>
      <c r="B347" t="s">
        <v>198</v>
      </c>
      <c r="C347" t="s">
        <v>33</v>
      </c>
      <c r="D347" t="s">
        <v>261</v>
      </c>
      <c r="E347" s="1">
        <v>45677</v>
      </c>
    </row>
    <row r="348" spans="1:5" x14ac:dyDescent="0.25">
      <c r="A348" t="s">
        <v>604</v>
      </c>
      <c r="B348" t="s">
        <v>198</v>
      </c>
      <c r="C348" t="s">
        <v>33</v>
      </c>
      <c r="D348" t="s">
        <v>264</v>
      </c>
      <c r="E348" s="1">
        <v>45680</v>
      </c>
    </row>
    <row r="349" spans="1:5" x14ac:dyDescent="0.25">
      <c r="A349" t="s">
        <v>605</v>
      </c>
      <c r="B349" t="s">
        <v>198</v>
      </c>
      <c r="C349" t="s">
        <v>33</v>
      </c>
      <c r="D349" t="s">
        <v>255</v>
      </c>
      <c r="E349" s="1">
        <v>45677</v>
      </c>
    </row>
    <row r="350" spans="1:5" x14ac:dyDescent="0.25">
      <c r="A350" t="s">
        <v>606</v>
      </c>
      <c r="B350" t="s">
        <v>199</v>
      </c>
      <c r="C350" t="s">
        <v>38</v>
      </c>
      <c r="D350" t="s">
        <v>257</v>
      </c>
      <c r="E350" s="1">
        <v>45678</v>
      </c>
    </row>
    <row r="351" spans="1:5" x14ac:dyDescent="0.25">
      <c r="A351" t="s">
        <v>607</v>
      </c>
      <c r="B351" t="s">
        <v>199</v>
      </c>
      <c r="C351" t="s">
        <v>49</v>
      </c>
      <c r="D351" t="s">
        <v>255</v>
      </c>
      <c r="E351" s="1">
        <v>45670</v>
      </c>
    </row>
    <row r="352" spans="1:5" x14ac:dyDescent="0.25">
      <c r="A352" t="s">
        <v>608</v>
      </c>
      <c r="B352" t="s">
        <v>200</v>
      </c>
      <c r="C352" t="s">
        <v>38</v>
      </c>
      <c r="D352" t="s">
        <v>257</v>
      </c>
      <c r="E352" s="1">
        <v>45662</v>
      </c>
    </row>
    <row r="353" spans="1:5" x14ac:dyDescent="0.25">
      <c r="A353" t="s">
        <v>609</v>
      </c>
      <c r="B353" t="s">
        <v>200</v>
      </c>
      <c r="C353" t="s">
        <v>33</v>
      </c>
      <c r="D353" t="s">
        <v>261</v>
      </c>
      <c r="E353" s="1">
        <v>45670</v>
      </c>
    </row>
    <row r="354" spans="1:5" x14ac:dyDescent="0.25">
      <c r="A354" t="s">
        <v>610</v>
      </c>
      <c r="B354" t="s">
        <v>200</v>
      </c>
      <c r="C354" t="s">
        <v>33</v>
      </c>
      <c r="D354" t="s">
        <v>255</v>
      </c>
      <c r="E354" s="1">
        <v>45662</v>
      </c>
    </row>
    <row r="355" spans="1:5" x14ac:dyDescent="0.25">
      <c r="A355" t="s">
        <v>611</v>
      </c>
      <c r="B355" t="s">
        <v>201</v>
      </c>
      <c r="C355" t="s">
        <v>33</v>
      </c>
      <c r="D355" t="s">
        <v>46</v>
      </c>
      <c r="E355" s="1">
        <v>45683</v>
      </c>
    </row>
    <row r="356" spans="1:5" x14ac:dyDescent="0.25">
      <c r="A356" t="s">
        <v>612</v>
      </c>
      <c r="B356" t="s">
        <v>202</v>
      </c>
      <c r="C356" t="s">
        <v>45</v>
      </c>
      <c r="D356" t="s">
        <v>261</v>
      </c>
      <c r="E356" s="1">
        <v>45670</v>
      </c>
    </row>
    <row r="357" spans="1:5" x14ac:dyDescent="0.25">
      <c r="A357" t="s">
        <v>613</v>
      </c>
      <c r="B357" t="s">
        <v>203</v>
      </c>
      <c r="C357" t="s">
        <v>33</v>
      </c>
      <c r="D357" t="s">
        <v>264</v>
      </c>
      <c r="E357" s="1">
        <v>45667</v>
      </c>
    </row>
    <row r="358" spans="1:5" x14ac:dyDescent="0.25">
      <c r="A358" t="s">
        <v>614</v>
      </c>
      <c r="B358" t="s">
        <v>203</v>
      </c>
      <c r="C358" t="s">
        <v>45</v>
      </c>
      <c r="D358" t="s">
        <v>261</v>
      </c>
      <c r="E358" s="1">
        <v>45668</v>
      </c>
    </row>
    <row r="359" spans="1:5" x14ac:dyDescent="0.25">
      <c r="A359" t="s">
        <v>615</v>
      </c>
      <c r="B359" t="s">
        <v>203</v>
      </c>
      <c r="C359" t="s">
        <v>38</v>
      </c>
      <c r="D359" t="s">
        <v>46</v>
      </c>
      <c r="E359" s="1">
        <v>45672</v>
      </c>
    </row>
    <row r="360" spans="1:5" x14ac:dyDescent="0.25">
      <c r="A360" t="s">
        <v>616</v>
      </c>
      <c r="B360" t="s">
        <v>204</v>
      </c>
      <c r="C360" t="s">
        <v>49</v>
      </c>
      <c r="D360" t="s">
        <v>261</v>
      </c>
      <c r="E360" s="1">
        <v>45673</v>
      </c>
    </row>
    <row r="361" spans="1:5" x14ac:dyDescent="0.25">
      <c r="A361" t="s">
        <v>617</v>
      </c>
      <c r="B361" t="s">
        <v>205</v>
      </c>
      <c r="C361" t="s">
        <v>49</v>
      </c>
      <c r="D361" t="s">
        <v>46</v>
      </c>
      <c r="E361" s="1">
        <v>45673</v>
      </c>
    </row>
    <row r="362" spans="1:5" x14ac:dyDescent="0.25">
      <c r="A362" t="s">
        <v>618</v>
      </c>
      <c r="B362" t="s">
        <v>205</v>
      </c>
      <c r="C362" t="s">
        <v>49</v>
      </c>
      <c r="D362" t="s">
        <v>257</v>
      </c>
      <c r="E362" s="1">
        <v>45673</v>
      </c>
    </row>
    <row r="363" spans="1:5" x14ac:dyDescent="0.25">
      <c r="A363" t="s">
        <v>619</v>
      </c>
      <c r="B363" t="s">
        <v>205</v>
      </c>
      <c r="C363" t="s">
        <v>45</v>
      </c>
      <c r="D363" t="s">
        <v>255</v>
      </c>
      <c r="E363" s="1">
        <v>45675</v>
      </c>
    </row>
    <row r="364" spans="1:5" x14ac:dyDescent="0.25">
      <c r="A364" t="s">
        <v>620</v>
      </c>
      <c r="B364" t="s">
        <v>206</v>
      </c>
      <c r="C364" t="s">
        <v>49</v>
      </c>
      <c r="D364" t="s">
        <v>264</v>
      </c>
      <c r="E364" s="1">
        <v>45686</v>
      </c>
    </row>
    <row r="365" spans="1:5" x14ac:dyDescent="0.25">
      <c r="A365" t="s">
        <v>621</v>
      </c>
      <c r="B365" t="s">
        <v>206</v>
      </c>
      <c r="C365" t="s">
        <v>33</v>
      </c>
      <c r="D365" t="s">
        <v>255</v>
      </c>
      <c r="E365" s="1">
        <v>45678</v>
      </c>
    </row>
    <row r="366" spans="1:5" x14ac:dyDescent="0.25">
      <c r="A366" t="s">
        <v>622</v>
      </c>
      <c r="B366" t="s">
        <v>206</v>
      </c>
      <c r="C366" t="s">
        <v>49</v>
      </c>
      <c r="D366" t="s">
        <v>46</v>
      </c>
      <c r="E366" s="1">
        <v>45687</v>
      </c>
    </row>
    <row r="367" spans="1:5" x14ac:dyDescent="0.25">
      <c r="A367" t="s">
        <v>623</v>
      </c>
      <c r="B367" t="s">
        <v>206</v>
      </c>
      <c r="C367" t="s">
        <v>33</v>
      </c>
      <c r="D367" t="s">
        <v>261</v>
      </c>
      <c r="E367" s="1">
        <v>45687</v>
      </c>
    </row>
    <row r="368" spans="1:5" x14ac:dyDescent="0.25">
      <c r="A368" t="s">
        <v>624</v>
      </c>
      <c r="B368" t="s">
        <v>207</v>
      </c>
      <c r="C368" t="s">
        <v>45</v>
      </c>
      <c r="D368" t="s">
        <v>46</v>
      </c>
      <c r="E368" s="1">
        <v>45685</v>
      </c>
    </row>
    <row r="369" spans="1:5" x14ac:dyDescent="0.25">
      <c r="A369" t="s">
        <v>625</v>
      </c>
      <c r="B369" t="s">
        <v>208</v>
      </c>
      <c r="C369" t="s">
        <v>49</v>
      </c>
      <c r="D369" t="s">
        <v>261</v>
      </c>
      <c r="E369" s="1">
        <v>45690</v>
      </c>
    </row>
    <row r="370" spans="1:5" x14ac:dyDescent="0.25">
      <c r="A370" t="s">
        <v>626</v>
      </c>
      <c r="B370" t="s">
        <v>208</v>
      </c>
      <c r="C370" t="s">
        <v>49</v>
      </c>
      <c r="D370" t="s">
        <v>264</v>
      </c>
      <c r="E370" s="1">
        <v>45686</v>
      </c>
    </row>
    <row r="371" spans="1:5" x14ac:dyDescent="0.25">
      <c r="A371" t="s">
        <v>627</v>
      </c>
      <c r="B371" t="s">
        <v>209</v>
      </c>
      <c r="C371" t="s">
        <v>38</v>
      </c>
      <c r="D371" t="s">
        <v>264</v>
      </c>
      <c r="E371" s="1">
        <v>45679</v>
      </c>
    </row>
    <row r="372" spans="1:5" x14ac:dyDescent="0.25">
      <c r="A372" t="s">
        <v>628</v>
      </c>
      <c r="B372" t="s">
        <v>210</v>
      </c>
      <c r="C372" t="s">
        <v>49</v>
      </c>
      <c r="D372" t="s">
        <v>257</v>
      </c>
      <c r="E372" s="1">
        <v>45666</v>
      </c>
    </row>
    <row r="373" spans="1:5" x14ac:dyDescent="0.25">
      <c r="A373" t="s">
        <v>629</v>
      </c>
      <c r="B373" t="s">
        <v>211</v>
      </c>
      <c r="C373" t="s">
        <v>38</v>
      </c>
      <c r="D373" t="s">
        <v>264</v>
      </c>
      <c r="E373" s="1">
        <v>45673</v>
      </c>
    </row>
    <row r="374" spans="1:5" x14ac:dyDescent="0.25">
      <c r="A374" t="s">
        <v>630</v>
      </c>
      <c r="B374" t="s">
        <v>211</v>
      </c>
      <c r="C374" t="s">
        <v>33</v>
      </c>
      <c r="D374" t="s">
        <v>257</v>
      </c>
      <c r="E374" s="1">
        <v>45682</v>
      </c>
    </row>
    <row r="375" spans="1:5" x14ac:dyDescent="0.25">
      <c r="A375" t="s">
        <v>631</v>
      </c>
      <c r="B375" t="s">
        <v>211</v>
      </c>
      <c r="C375" t="s">
        <v>33</v>
      </c>
      <c r="D375" t="s">
        <v>255</v>
      </c>
      <c r="E375" s="1">
        <v>45678</v>
      </c>
    </row>
    <row r="376" spans="1:5" x14ac:dyDescent="0.25">
      <c r="A376" t="s">
        <v>632</v>
      </c>
      <c r="B376" t="s">
        <v>211</v>
      </c>
      <c r="C376" t="s">
        <v>45</v>
      </c>
      <c r="D376" t="s">
        <v>261</v>
      </c>
      <c r="E376" s="1">
        <v>45684</v>
      </c>
    </row>
    <row r="377" spans="1:5" x14ac:dyDescent="0.25">
      <c r="A377" t="s">
        <v>633</v>
      </c>
      <c r="B377" t="s">
        <v>212</v>
      </c>
      <c r="C377" t="s">
        <v>33</v>
      </c>
      <c r="D377" t="s">
        <v>46</v>
      </c>
      <c r="E377" s="1">
        <v>45690</v>
      </c>
    </row>
    <row r="378" spans="1:5" x14ac:dyDescent="0.25">
      <c r="A378" t="s">
        <v>634</v>
      </c>
      <c r="B378" t="s">
        <v>212</v>
      </c>
      <c r="C378" t="s">
        <v>33</v>
      </c>
      <c r="D378" t="s">
        <v>257</v>
      </c>
      <c r="E378" s="1">
        <v>45692</v>
      </c>
    </row>
    <row r="379" spans="1:5" x14ac:dyDescent="0.25">
      <c r="A379" t="s">
        <v>635</v>
      </c>
      <c r="B379" t="s">
        <v>212</v>
      </c>
      <c r="C379" t="s">
        <v>45</v>
      </c>
      <c r="D379" t="s">
        <v>261</v>
      </c>
      <c r="E379" s="1">
        <v>45691</v>
      </c>
    </row>
    <row r="380" spans="1:5" x14ac:dyDescent="0.25">
      <c r="A380" t="s">
        <v>636</v>
      </c>
      <c r="B380" t="s">
        <v>212</v>
      </c>
      <c r="C380" t="s">
        <v>33</v>
      </c>
      <c r="D380" t="s">
        <v>255</v>
      </c>
      <c r="E380" s="1">
        <v>45682</v>
      </c>
    </row>
    <row r="381" spans="1:5" x14ac:dyDescent="0.25">
      <c r="A381" t="s">
        <v>637</v>
      </c>
      <c r="B381" t="s">
        <v>213</v>
      </c>
      <c r="C381" t="s">
        <v>45</v>
      </c>
      <c r="D381" t="s">
        <v>255</v>
      </c>
      <c r="E381" s="1">
        <v>45680</v>
      </c>
    </row>
    <row r="382" spans="1:5" x14ac:dyDescent="0.25">
      <c r="A382" t="s">
        <v>638</v>
      </c>
      <c r="B382" t="s">
        <v>213</v>
      </c>
      <c r="C382" t="s">
        <v>38</v>
      </c>
      <c r="D382" t="s">
        <v>264</v>
      </c>
      <c r="E382" s="1">
        <v>45675</v>
      </c>
    </row>
    <row r="383" spans="1:5" x14ac:dyDescent="0.25">
      <c r="A383" t="s">
        <v>639</v>
      </c>
      <c r="B383" t="s">
        <v>213</v>
      </c>
      <c r="C383" t="s">
        <v>45</v>
      </c>
      <c r="D383" t="s">
        <v>261</v>
      </c>
      <c r="E383" s="1">
        <v>45675</v>
      </c>
    </row>
    <row r="384" spans="1:5" x14ac:dyDescent="0.25">
      <c r="A384" t="s">
        <v>640</v>
      </c>
      <c r="B384" t="s">
        <v>214</v>
      </c>
      <c r="C384" t="s">
        <v>33</v>
      </c>
      <c r="D384" t="s">
        <v>255</v>
      </c>
      <c r="E384" s="1">
        <v>45673</v>
      </c>
    </row>
    <row r="385" spans="1:5" x14ac:dyDescent="0.25">
      <c r="A385" t="s">
        <v>641</v>
      </c>
      <c r="B385" t="s">
        <v>215</v>
      </c>
      <c r="C385" t="s">
        <v>49</v>
      </c>
      <c r="D385" t="s">
        <v>257</v>
      </c>
      <c r="E385" s="1">
        <v>45666</v>
      </c>
    </row>
    <row r="386" spans="1:5" x14ac:dyDescent="0.25">
      <c r="A386" t="s">
        <v>642</v>
      </c>
      <c r="B386" t="s">
        <v>215</v>
      </c>
      <c r="C386" t="s">
        <v>45</v>
      </c>
      <c r="D386" t="s">
        <v>264</v>
      </c>
      <c r="E386" s="1">
        <v>45662</v>
      </c>
    </row>
    <row r="387" spans="1:5" x14ac:dyDescent="0.25">
      <c r="A387" t="s">
        <v>643</v>
      </c>
      <c r="B387" t="s">
        <v>215</v>
      </c>
      <c r="C387" t="s">
        <v>33</v>
      </c>
      <c r="D387" t="s">
        <v>255</v>
      </c>
      <c r="E387" s="1">
        <v>45668</v>
      </c>
    </row>
    <row r="388" spans="1:5" x14ac:dyDescent="0.25">
      <c r="A388" t="s">
        <v>644</v>
      </c>
      <c r="B388" t="s">
        <v>215</v>
      </c>
      <c r="C388" t="s">
        <v>45</v>
      </c>
      <c r="D388" t="s">
        <v>261</v>
      </c>
      <c r="E388" s="1">
        <v>45673</v>
      </c>
    </row>
    <row r="389" spans="1:5" x14ac:dyDescent="0.25">
      <c r="A389" t="s">
        <v>645</v>
      </c>
      <c r="B389" t="s">
        <v>216</v>
      </c>
      <c r="C389" t="s">
        <v>45</v>
      </c>
      <c r="D389" t="s">
        <v>255</v>
      </c>
      <c r="E389" s="1">
        <v>45677</v>
      </c>
    </row>
    <row r="390" spans="1:5" x14ac:dyDescent="0.25">
      <c r="A390" t="s">
        <v>646</v>
      </c>
      <c r="B390" t="s">
        <v>216</v>
      </c>
      <c r="C390" t="s">
        <v>49</v>
      </c>
      <c r="D390" t="s">
        <v>264</v>
      </c>
      <c r="E390" s="1">
        <v>45674</v>
      </c>
    </row>
    <row r="391" spans="1:5" x14ac:dyDescent="0.25">
      <c r="A391" t="s">
        <v>647</v>
      </c>
      <c r="B391" t="s">
        <v>216</v>
      </c>
      <c r="C391" t="s">
        <v>49</v>
      </c>
      <c r="D391" t="s">
        <v>261</v>
      </c>
      <c r="E391" s="1">
        <v>45679</v>
      </c>
    </row>
    <row r="392" spans="1:5" x14ac:dyDescent="0.25">
      <c r="A392" t="s">
        <v>648</v>
      </c>
      <c r="B392" t="s">
        <v>217</v>
      </c>
      <c r="C392" t="s">
        <v>38</v>
      </c>
      <c r="D392" t="s">
        <v>264</v>
      </c>
      <c r="E392" s="1">
        <v>45686</v>
      </c>
    </row>
    <row r="393" spans="1:5" x14ac:dyDescent="0.25">
      <c r="A393" t="s">
        <v>649</v>
      </c>
      <c r="B393" t="s">
        <v>218</v>
      </c>
      <c r="C393" t="s">
        <v>33</v>
      </c>
      <c r="D393" t="s">
        <v>255</v>
      </c>
      <c r="E393" s="1">
        <v>45690</v>
      </c>
    </row>
    <row r="394" spans="1:5" x14ac:dyDescent="0.25">
      <c r="A394" t="s">
        <v>650</v>
      </c>
      <c r="B394" t="s">
        <v>218</v>
      </c>
      <c r="C394" t="s">
        <v>49</v>
      </c>
      <c r="D394" t="s">
        <v>257</v>
      </c>
      <c r="E394" s="1">
        <v>45681</v>
      </c>
    </row>
    <row r="395" spans="1:5" x14ac:dyDescent="0.25">
      <c r="A395" t="s">
        <v>651</v>
      </c>
      <c r="B395" t="s">
        <v>218</v>
      </c>
      <c r="C395" t="s">
        <v>45</v>
      </c>
      <c r="D395" t="s">
        <v>264</v>
      </c>
      <c r="E395" s="1">
        <v>45681</v>
      </c>
    </row>
    <row r="396" spans="1:5" x14ac:dyDescent="0.25">
      <c r="A396" t="s">
        <v>652</v>
      </c>
      <c r="B396" t="s">
        <v>219</v>
      </c>
      <c r="C396" t="s">
        <v>38</v>
      </c>
      <c r="D396" t="s">
        <v>257</v>
      </c>
      <c r="E396" s="1">
        <v>45668</v>
      </c>
    </row>
    <row r="397" spans="1:5" x14ac:dyDescent="0.25">
      <c r="A397" t="s">
        <v>653</v>
      </c>
      <c r="B397" t="s">
        <v>219</v>
      </c>
      <c r="C397" t="s">
        <v>49</v>
      </c>
      <c r="D397" t="s">
        <v>255</v>
      </c>
      <c r="E397" s="1">
        <v>45680</v>
      </c>
    </row>
    <row r="398" spans="1:5" x14ac:dyDescent="0.25">
      <c r="A398" t="s">
        <v>654</v>
      </c>
      <c r="B398" t="s">
        <v>220</v>
      </c>
      <c r="C398" t="s">
        <v>38</v>
      </c>
      <c r="D398" t="s">
        <v>261</v>
      </c>
      <c r="E398" s="1">
        <v>45685</v>
      </c>
    </row>
    <row r="399" spans="1:5" x14ac:dyDescent="0.25">
      <c r="A399" t="s">
        <v>655</v>
      </c>
      <c r="B399" t="s">
        <v>221</v>
      </c>
      <c r="C399" t="s">
        <v>45</v>
      </c>
      <c r="D399" t="s">
        <v>46</v>
      </c>
      <c r="E399" s="1">
        <v>45669</v>
      </c>
    </row>
    <row r="400" spans="1:5" x14ac:dyDescent="0.25">
      <c r="A400" t="s">
        <v>656</v>
      </c>
      <c r="B400" t="s">
        <v>221</v>
      </c>
      <c r="C400" t="s">
        <v>49</v>
      </c>
      <c r="D400" t="s">
        <v>255</v>
      </c>
      <c r="E400" s="1">
        <v>45665</v>
      </c>
    </row>
    <row r="401" spans="1:5" x14ac:dyDescent="0.25">
      <c r="A401" t="s">
        <v>657</v>
      </c>
      <c r="B401" t="s">
        <v>222</v>
      </c>
      <c r="C401" t="s">
        <v>45</v>
      </c>
      <c r="D401" t="s">
        <v>257</v>
      </c>
      <c r="E401" s="1">
        <v>45675</v>
      </c>
    </row>
    <row r="402" spans="1:5" x14ac:dyDescent="0.25">
      <c r="A402" t="s">
        <v>658</v>
      </c>
      <c r="B402" t="s">
        <v>222</v>
      </c>
      <c r="C402" t="s">
        <v>33</v>
      </c>
      <c r="D402" t="s">
        <v>261</v>
      </c>
      <c r="E402" s="1">
        <v>45672</v>
      </c>
    </row>
    <row r="403" spans="1:5" x14ac:dyDescent="0.25">
      <c r="A403" t="s">
        <v>659</v>
      </c>
      <c r="B403" t="s">
        <v>223</v>
      </c>
      <c r="C403" t="s">
        <v>45</v>
      </c>
      <c r="D403" t="s">
        <v>257</v>
      </c>
      <c r="E403" s="1">
        <v>45684</v>
      </c>
    </row>
    <row r="404" spans="1:5" x14ac:dyDescent="0.25">
      <c r="A404" t="s">
        <v>660</v>
      </c>
      <c r="B404" t="s">
        <v>223</v>
      </c>
      <c r="C404" t="s">
        <v>38</v>
      </c>
      <c r="D404" t="s">
        <v>261</v>
      </c>
      <c r="E404" s="1">
        <v>45690</v>
      </c>
    </row>
    <row r="405" spans="1:5" x14ac:dyDescent="0.25">
      <c r="A405" t="s">
        <v>661</v>
      </c>
      <c r="B405" t="s">
        <v>224</v>
      </c>
      <c r="C405" t="s">
        <v>45</v>
      </c>
      <c r="D405" t="s">
        <v>257</v>
      </c>
      <c r="E405" s="1">
        <v>45673</v>
      </c>
    </row>
    <row r="406" spans="1:5" x14ac:dyDescent="0.25">
      <c r="A406" t="s">
        <v>662</v>
      </c>
      <c r="B406" t="s">
        <v>225</v>
      </c>
      <c r="C406" t="s">
        <v>49</v>
      </c>
      <c r="D406" t="s">
        <v>257</v>
      </c>
      <c r="E406" s="1">
        <v>45686</v>
      </c>
    </row>
    <row r="407" spans="1:5" x14ac:dyDescent="0.25">
      <c r="A407" t="s">
        <v>663</v>
      </c>
      <c r="B407" t="s">
        <v>225</v>
      </c>
      <c r="C407" t="s">
        <v>33</v>
      </c>
      <c r="D407" t="s">
        <v>255</v>
      </c>
      <c r="E407" s="1">
        <v>45679</v>
      </c>
    </row>
    <row r="408" spans="1:5" x14ac:dyDescent="0.25">
      <c r="A408" t="s">
        <v>664</v>
      </c>
      <c r="B408" t="s">
        <v>226</v>
      </c>
      <c r="C408" t="s">
        <v>33</v>
      </c>
      <c r="D408" t="s">
        <v>261</v>
      </c>
      <c r="E408" s="1">
        <v>45667</v>
      </c>
    </row>
    <row r="409" spans="1:5" x14ac:dyDescent="0.25">
      <c r="A409" t="s">
        <v>665</v>
      </c>
      <c r="B409" t="s">
        <v>226</v>
      </c>
      <c r="C409" t="s">
        <v>45</v>
      </c>
      <c r="D409" t="s">
        <v>264</v>
      </c>
      <c r="E409" s="1">
        <v>45665</v>
      </c>
    </row>
    <row r="410" spans="1:5" x14ac:dyDescent="0.25">
      <c r="A410" t="s">
        <v>666</v>
      </c>
      <c r="B410" t="s">
        <v>226</v>
      </c>
      <c r="C410" t="s">
        <v>45</v>
      </c>
      <c r="D410" t="s">
        <v>46</v>
      </c>
      <c r="E410" s="1">
        <v>45668</v>
      </c>
    </row>
    <row r="411" spans="1:5" x14ac:dyDescent="0.25">
      <c r="A411" t="s">
        <v>667</v>
      </c>
      <c r="B411" t="s">
        <v>226</v>
      </c>
      <c r="C411" t="s">
        <v>33</v>
      </c>
      <c r="D411" t="s">
        <v>257</v>
      </c>
      <c r="E411" s="1">
        <v>45660</v>
      </c>
    </row>
    <row r="412" spans="1:5" x14ac:dyDescent="0.25">
      <c r="A412" t="s">
        <v>668</v>
      </c>
      <c r="B412" t="s">
        <v>227</v>
      </c>
      <c r="C412" t="s">
        <v>45</v>
      </c>
      <c r="D412" t="s">
        <v>257</v>
      </c>
      <c r="E412" s="1">
        <v>45685</v>
      </c>
    </row>
    <row r="413" spans="1:5" x14ac:dyDescent="0.25">
      <c r="A413" t="s">
        <v>669</v>
      </c>
      <c r="B413" t="s">
        <v>228</v>
      </c>
      <c r="C413" t="s">
        <v>49</v>
      </c>
      <c r="D413" t="s">
        <v>257</v>
      </c>
      <c r="E413" s="1">
        <v>45683</v>
      </c>
    </row>
    <row r="414" spans="1:5" x14ac:dyDescent="0.25">
      <c r="A414" t="s">
        <v>670</v>
      </c>
      <c r="B414" t="s">
        <v>228</v>
      </c>
      <c r="C414" t="s">
        <v>49</v>
      </c>
      <c r="D414" t="s">
        <v>46</v>
      </c>
      <c r="E414" s="1">
        <v>45675</v>
      </c>
    </row>
    <row r="415" spans="1:5" x14ac:dyDescent="0.25">
      <c r="A415" t="s">
        <v>671</v>
      </c>
      <c r="B415" t="s">
        <v>229</v>
      </c>
      <c r="C415" t="s">
        <v>49</v>
      </c>
      <c r="D415" t="s">
        <v>257</v>
      </c>
      <c r="E415" s="1">
        <v>45664</v>
      </c>
    </row>
    <row r="416" spans="1:5" x14ac:dyDescent="0.25">
      <c r="A416" t="s">
        <v>672</v>
      </c>
      <c r="B416" t="s">
        <v>229</v>
      </c>
      <c r="C416" t="s">
        <v>38</v>
      </c>
      <c r="D416" t="s">
        <v>264</v>
      </c>
      <c r="E416" s="1">
        <v>45677</v>
      </c>
    </row>
    <row r="417" spans="1:5" x14ac:dyDescent="0.25">
      <c r="A417" t="s">
        <v>673</v>
      </c>
      <c r="B417" t="s">
        <v>229</v>
      </c>
      <c r="C417" t="s">
        <v>49</v>
      </c>
      <c r="D417" t="s">
        <v>261</v>
      </c>
      <c r="E417" s="1">
        <v>45668</v>
      </c>
    </row>
    <row r="418" spans="1:5" x14ac:dyDescent="0.25">
      <c r="A418" t="s">
        <v>674</v>
      </c>
      <c r="B418" t="s">
        <v>229</v>
      </c>
      <c r="C418" t="s">
        <v>45</v>
      </c>
      <c r="D418" t="s">
        <v>255</v>
      </c>
      <c r="E418" s="1">
        <v>45674</v>
      </c>
    </row>
    <row r="419" spans="1:5" x14ac:dyDescent="0.25">
      <c r="A419" t="s">
        <v>675</v>
      </c>
      <c r="B419" t="s">
        <v>230</v>
      </c>
      <c r="C419" t="s">
        <v>38</v>
      </c>
      <c r="D419" t="s">
        <v>264</v>
      </c>
      <c r="E419" s="1">
        <v>45676</v>
      </c>
    </row>
    <row r="420" spans="1:5" x14ac:dyDescent="0.25">
      <c r="A420" t="s">
        <v>676</v>
      </c>
      <c r="B420" t="s">
        <v>230</v>
      </c>
      <c r="C420" t="s">
        <v>45</v>
      </c>
      <c r="D420" t="s">
        <v>46</v>
      </c>
      <c r="E420" s="1">
        <v>45678</v>
      </c>
    </row>
    <row r="421" spans="1:5" x14ac:dyDescent="0.25">
      <c r="A421" t="s">
        <v>677</v>
      </c>
      <c r="B421" t="s">
        <v>230</v>
      </c>
      <c r="C421" t="s">
        <v>49</v>
      </c>
      <c r="D421" t="s">
        <v>261</v>
      </c>
      <c r="E421" s="1">
        <v>45675</v>
      </c>
    </row>
    <row r="422" spans="1:5" x14ac:dyDescent="0.25">
      <c r="A422" t="s">
        <v>678</v>
      </c>
      <c r="B422" t="s">
        <v>231</v>
      </c>
      <c r="C422" t="s">
        <v>45</v>
      </c>
      <c r="D422" t="s">
        <v>257</v>
      </c>
      <c r="E422" s="1">
        <v>45678</v>
      </c>
    </row>
    <row r="423" spans="1:5" x14ac:dyDescent="0.25">
      <c r="A423" t="s">
        <v>679</v>
      </c>
      <c r="B423" t="s">
        <v>231</v>
      </c>
      <c r="C423" t="s">
        <v>33</v>
      </c>
      <c r="D423" t="s">
        <v>46</v>
      </c>
      <c r="E423" s="1">
        <v>45671</v>
      </c>
    </row>
    <row r="424" spans="1:5" x14ac:dyDescent="0.25">
      <c r="A424" t="s">
        <v>680</v>
      </c>
      <c r="B424" t="s">
        <v>231</v>
      </c>
      <c r="C424" t="s">
        <v>38</v>
      </c>
      <c r="D424" t="s">
        <v>255</v>
      </c>
      <c r="E424" s="1">
        <v>45677</v>
      </c>
    </row>
    <row r="425" spans="1:5" x14ac:dyDescent="0.25">
      <c r="A425" t="s">
        <v>681</v>
      </c>
      <c r="B425" t="s">
        <v>232</v>
      </c>
      <c r="C425" t="s">
        <v>38</v>
      </c>
      <c r="D425" t="s">
        <v>264</v>
      </c>
      <c r="E425" s="1">
        <v>45683</v>
      </c>
    </row>
    <row r="426" spans="1:5" x14ac:dyDescent="0.25">
      <c r="A426" t="s">
        <v>682</v>
      </c>
      <c r="B426" t="s">
        <v>232</v>
      </c>
      <c r="C426" t="s">
        <v>45</v>
      </c>
      <c r="D426" t="s">
        <v>257</v>
      </c>
      <c r="E426" s="1">
        <v>45679</v>
      </c>
    </row>
    <row r="427" spans="1:5" x14ac:dyDescent="0.25">
      <c r="A427" t="s">
        <v>683</v>
      </c>
      <c r="B427" t="s">
        <v>232</v>
      </c>
      <c r="C427" t="s">
        <v>49</v>
      </c>
      <c r="D427" t="s">
        <v>46</v>
      </c>
      <c r="E427" s="1">
        <v>45681</v>
      </c>
    </row>
    <row r="428" spans="1:5" x14ac:dyDescent="0.25">
      <c r="A428" t="s">
        <v>684</v>
      </c>
      <c r="B428" t="s">
        <v>232</v>
      </c>
      <c r="C428" t="s">
        <v>49</v>
      </c>
      <c r="D428" t="s">
        <v>255</v>
      </c>
      <c r="E428" s="1">
        <v>45680</v>
      </c>
    </row>
    <row r="429" spans="1:5" x14ac:dyDescent="0.25">
      <c r="A429" t="s">
        <v>685</v>
      </c>
      <c r="B429" t="s">
        <v>233</v>
      </c>
      <c r="C429" t="s">
        <v>45</v>
      </c>
      <c r="D429" t="s">
        <v>46</v>
      </c>
      <c r="E429" s="1">
        <v>45674</v>
      </c>
    </row>
    <row r="430" spans="1:5" x14ac:dyDescent="0.25">
      <c r="A430" t="s">
        <v>686</v>
      </c>
      <c r="B430" t="s">
        <v>233</v>
      </c>
      <c r="C430" t="s">
        <v>38</v>
      </c>
      <c r="D430" t="s">
        <v>257</v>
      </c>
      <c r="E430" s="1">
        <v>45666</v>
      </c>
    </row>
    <row r="431" spans="1:5" x14ac:dyDescent="0.25">
      <c r="A431" t="s">
        <v>687</v>
      </c>
      <c r="B431" t="s">
        <v>233</v>
      </c>
      <c r="C431" t="s">
        <v>49</v>
      </c>
      <c r="D431" t="s">
        <v>261</v>
      </c>
      <c r="E431" s="1">
        <v>45662</v>
      </c>
    </row>
    <row r="432" spans="1:5" x14ac:dyDescent="0.25">
      <c r="A432" t="s">
        <v>688</v>
      </c>
      <c r="B432" t="s">
        <v>233</v>
      </c>
      <c r="C432" t="s">
        <v>49</v>
      </c>
      <c r="D432" t="s">
        <v>264</v>
      </c>
      <c r="E432" s="1">
        <v>45669</v>
      </c>
    </row>
    <row r="433" spans="1:5" x14ac:dyDescent="0.25">
      <c r="A433" t="s">
        <v>689</v>
      </c>
      <c r="B433" t="s">
        <v>234</v>
      </c>
      <c r="C433" t="s">
        <v>33</v>
      </c>
      <c r="D433" t="s">
        <v>261</v>
      </c>
      <c r="E433" s="1">
        <v>45679</v>
      </c>
    </row>
    <row r="434" spans="1:5" x14ac:dyDescent="0.25">
      <c r="A434" t="s">
        <v>690</v>
      </c>
      <c r="B434" t="s">
        <v>234</v>
      </c>
      <c r="C434" t="s">
        <v>33</v>
      </c>
      <c r="D434" t="s">
        <v>264</v>
      </c>
      <c r="E434" s="1">
        <v>45675</v>
      </c>
    </row>
    <row r="435" spans="1:5" x14ac:dyDescent="0.25">
      <c r="A435" t="s">
        <v>691</v>
      </c>
      <c r="B435" t="s">
        <v>234</v>
      </c>
      <c r="C435" t="s">
        <v>45</v>
      </c>
      <c r="D435" t="s">
        <v>257</v>
      </c>
      <c r="E435" s="1">
        <v>45681</v>
      </c>
    </row>
    <row r="436" spans="1:5" x14ac:dyDescent="0.25">
      <c r="A436" t="s">
        <v>692</v>
      </c>
      <c r="B436" t="s">
        <v>234</v>
      </c>
      <c r="C436" t="s">
        <v>38</v>
      </c>
      <c r="D436" t="s">
        <v>46</v>
      </c>
      <c r="E436" s="1">
        <v>45682</v>
      </c>
    </row>
    <row r="437" spans="1:5" x14ac:dyDescent="0.25">
      <c r="A437" t="s">
        <v>693</v>
      </c>
      <c r="B437" t="s">
        <v>235</v>
      </c>
      <c r="C437" t="s">
        <v>33</v>
      </c>
      <c r="D437" t="s">
        <v>257</v>
      </c>
      <c r="E437" s="1">
        <v>45670</v>
      </c>
    </row>
    <row r="438" spans="1:5" x14ac:dyDescent="0.25">
      <c r="A438" t="s">
        <v>694</v>
      </c>
      <c r="B438" t="s">
        <v>235</v>
      </c>
      <c r="C438" t="s">
        <v>38</v>
      </c>
      <c r="D438" t="s">
        <v>255</v>
      </c>
      <c r="E438" s="1">
        <v>45666</v>
      </c>
    </row>
    <row r="439" spans="1:5" x14ac:dyDescent="0.25">
      <c r="A439" t="s">
        <v>695</v>
      </c>
      <c r="B439" t="s">
        <v>236</v>
      </c>
      <c r="C439" t="s">
        <v>49</v>
      </c>
      <c r="D439" t="s">
        <v>255</v>
      </c>
      <c r="E439" s="1">
        <v>45684</v>
      </c>
    </row>
    <row r="440" spans="1:5" x14ac:dyDescent="0.25">
      <c r="A440" t="s">
        <v>696</v>
      </c>
      <c r="B440" t="s">
        <v>236</v>
      </c>
      <c r="C440" t="s">
        <v>33</v>
      </c>
      <c r="D440" t="s">
        <v>257</v>
      </c>
      <c r="E440" s="1">
        <v>45686</v>
      </c>
    </row>
    <row r="441" spans="1:5" x14ac:dyDescent="0.25">
      <c r="A441" t="s">
        <v>697</v>
      </c>
      <c r="B441" t="s">
        <v>236</v>
      </c>
      <c r="C441" t="s">
        <v>38</v>
      </c>
      <c r="D441" t="s">
        <v>261</v>
      </c>
      <c r="E441" s="1">
        <v>45682</v>
      </c>
    </row>
    <row r="442" spans="1:5" x14ac:dyDescent="0.25">
      <c r="A442" t="s">
        <v>698</v>
      </c>
      <c r="B442" t="s">
        <v>236</v>
      </c>
      <c r="C442" t="s">
        <v>33</v>
      </c>
      <c r="D442" t="s">
        <v>46</v>
      </c>
      <c r="E442" s="1">
        <v>45686</v>
      </c>
    </row>
    <row r="443" spans="1:5" x14ac:dyDescent="0.25">
      <c r="A443" t="s">
        <v>699</v>
      </c>
      <c r="B443" t="s">
        <v>237</v>
      </c>
      <c r="C443" t="s">
        <v>33</v>
      </c>
      <c r="D443" t="s">
        <v>261</v>
      </c>
      <c r="E443" s="1">
        <v>45662</v>
      </c>
    </row>
    <row r="444" spans="1:5" x14ac:dyDescent="0.25">
      <c r="A444" t="s">
        <v>700</v>
      </c>
      <c r="B444" t="s">
        <v>237</v>
      </c>
      <c r="C444" t="s">
        <v>49</v>
      </c>
      <c r="D444" t="s">
        <v>46</v>
      </c>
      <c r="E444" s="1">
        <v>45661</v>
      </c>
    </row>
    <row r="445" spans="1:5" x14ac:dyDescent="0.25">
      <c r="A445" t="s">
        <v>701</v>
      </c>
      <c r="B445" t="s">
        <v>237</v>
      </c>
      <c r="C445" t="s">
        <v>45</v>
      </c>
      <c r="D445" t="s">
        <v>264</v>
      </c>
      <c r="E445" s="1">
        <v>45671</v>
      </c>
    </row>
    <row r="446" spans="1:5" x14ac:dyDescent="0.25">
      <c r="A446" t="s">
        <v>702</v>
      </c>
      <c r="B446" t="s">
        <v>238</v>
      </c>
      <c r="C446" t="s">
        <v>45</v>
      </c>
      <c r="D446" t="s">
        <v>261</v>
      </c>
      <c r="E446" s="1">
        <v>45668</v>
      </c>
    </row>
    <row r="447" spans="1:5" x14ac:dyDescent="0.25">
      <c r="A447" t="s">
        <v>703</v>
      </c>
      <c r="B447" t="s">
        <v>238</v>
      </c>
      <c r="C447" t="s">
        <v>45</v>
      </c>
      <c r="D447" t="s">
        <v>264</v>
      </c>
      <c r="E447" s="1">
        <v>45670</v>
      </c>
    </row>
    <row r="448" spans="1:5" x14ac:dyDescent="0.25">
      <c r="A448" t="s">
        <v>704</v>
      </c>
      <c r="B448" t="s">
        <v>239</v>
      </c>
      <c r="C448" t="s">
        <v>45</v>
      </c>
      <c r="D448" t="s">
        <v>257</v>
      </c>
      <c r="E448" s="1">
        <v>45688</v>
      </c>
    </row>
    <row r="449" spans="1:5" x14ac:dyDescent="0.25">
      <c r="A449" t="s">
        <v>705</v>
      </c>
      <c r="B449" t="s">
        <v>239</v>
      </c>
      <c r="C449" t="s">
        <v>45</v>
      </c>
      <c r="D449" t="s">
        <v>261</v>
      </c>
      <c r="E449" s="1">
        <v>45686</v>
      </c>
    </row>
    <row r="450" spans="1:5" x14ac:dyDescent="0.25">
      <c r="A450" t="s">
        <v>706</v>
      </c>
      <c r="B450" t="s">
        <v>239</v>
      </c>
      <c r="C450" t="s">
        <v>49</v>
      </c>
      <c r="D450" t="s">
        <v>46</v>
      </c>
      <c r="E450" s="1">
        <v>45676</v>
      </c>
    </row>
    <row r="451" spans="1:5" x14ac:dyDescent="0.25">
      <c r="A451" t="s">
        <v>707</v>
      </c>
      <c r="B451" t="s">
        <v>239</v>
      </c>
      <c r="C451" t="s">
        <v>49</v>
      </c>
      <c r="D451" t="s">
        <v>255</v>
      </c>
      <c r="E451" s="1">
        <v>45687</v>
      </c>
    </row>
    <row r="452" spans="1:5" x14ac:dyDescent="0.25">
      <c r="A452" t="s">
        <v>708</v>
      </c>
      <c r="B452" t="s">
        <v>240</v>
      </c>
      <c r="C452" t="s">
        <v>45</v>
      </c>
      <c r="D452" t="s">
        <v>46</v>
      </c>
      <c r="E452" s="1">
        <v>45668</v>
      </c>
    </row>
    <row r="453" spans="1:5" x14ac:dyDescent="0.25">
      <c r="A453" t="s">
        <v>709</v>
      </c>
      <c r="B453" t="s">
        <v>240</v>
      </c>
      <c r="C453" t="s">
        <v>49</v>
      </c>
      <c r="D453" t="s">
        <v>261</v>
      </c>
      <c r="E453" s="1">
        <v>45669</v>
      </c>
    </row>
    <row r="454" spans="1:5" x14ac:dyDescent="0.25">
      <c r="A454" t="s">
        <v>710</v>
      </c>
      <c r="B454" t="s">
        <v>240</v>
      </c>
      <c r="C454" t="s">
        <v>33</v>
      </c>
      <c r="D454" t="s">
        <v>257</v>
      </c>
      <c r="E454" s="1">
        <v>45667</v>
      </c>
    </row>
    <row r="455" spans="1:5" x14ac:dyDescent="0.25">
      <c r="A455" t="s">
        <v>711</v>
      </c>
      <c r="B455" t="s">
        <v>240</v>
      </c>
      <c r="C455" t="s">
        <v>38</v>
      </c>
      <c r="D455" t="s">
        <v>264</v>
      </c>
      <c r="E455" s="1">
        <v>45660</v>
      </c>
    </row>
    <row r="456" spans="1:5" x14ac:dyDescent="0.25">
      <c r="A456" t="s">
        <v>712</v>
      </c>
      <c r="B456" t="s">
        <v>241</v>
      </c>
      <c r="C456" t="s">
        <v>49</v>
      </c>
      <c r="D456" t="s">
        <v>257</v>
      </c>
      <c r="E456" s="1">
        <v>45685</v>
      </c>
    </row>
    <row r="457" spans="1:5" x14ac:dyDescent="0.25">
      <c r="A457" t="s">
        <v>713</v>
      </c>
      <c r="B457" t="s">
        <v>242</v>
      </c>
      <c r="C457" t="s">
        <v>45</v>
      </c>
      <c r="D457" t="s">
        <v>255</v>
      </c>
      <c r="E457" s="1">
        <v>45678</v>
      </c>
    </row>
    <row r="458" spans="1:5" x14ac:dyDescent="0.25">
      <c r="A458" t="s">
        <v>714</v>
      </c>
      <c r="B458" t="s">
        <v>242</v>
      </c>
      <c r="C458" t="s">
        <v>38</v>
      </c>
      <c r="D458" t="s">
        <v>264</v>
      </c>
      <c r="E458" s="1">
        <v>45675</v>
      </c>
    </row>
    <row r="459" spans="1:5" x14ac:dyDescent="0.25">
      <c r="A459" t="s">
        <v>715</v>
      </c>
      <c r="B459" t="s">
        <v>243</v>
      </c>
      <c r="C459" t="s">
        <v>33</v>
      </c>
      <c r="D459" t="s">
        <v>46</v>
      </c>
      <c r="E459" s="1">
        <v>45671</v>
      </c>
    </row>
    <row r="460" spans="1:5" x14ac:dyDescent="0.25">
      <c r="A460" t="s">
        <v>716</v>
      </c>
      <c r="B460" t="s">
        <v>243</v>
      </c>
      <c r="C460" t="s">
        <v>49</v>
      </c>
      <c r="D460" t="s">
        <v>264</v>
      </c>
      <c r="E460" s="1">
        <v>45671</v>
      </c>
    </row>
    <row r="461" spans="1:5" x14ac:dyDescent="0.25">
      <c r="A461" t="s">
        <v>717</v>
      </c>
      <c r="B461" t="s">
        <v>243</v>
      </c>
      <c r="C461" t="s">
        <v>33</v>
      </c>
      <c r="D461" t="s">
        <v>257</v>
      </c>
      <c r="E461" s="1">
        <v>45675</v>
      </c>
    </row>
    <row r="462" spans="1:5" x14ac:dyDescent="0.25">
      <c r="A462" t="s">
        <v>718</v>
      </c>
      <c r="B462" t="s">
        <v>244</v>
      </c>
      <c r="C462" t="s">
        <v>49</v>
      </c>
      <c r="D462" t="s">
        <v>46</v>
      </c>
      <c r="E462" s="1">
        <v>45661</v>
      </c>
    </row>
    <row r="463" spans="1:5" x14ac:dyDescent="0.25">
      <c r="A463" t="s">
        <v>719</v>
      </c>
      <c r="B463" t="s">
        <v>244</v>
      </c>
      <c r="C463" t="s">
        <v>33</v>
      </c>
      <c r="D463" t="s">
        <v>255</v>
      </c>
      <c r="E463" s="1">
        <v>45666</v>
      </c>
    </row>
    <row r="464" spans="1:5" x14ac:dyDescent="0.25">
      <c r="A464" t="s">
        <v>720</v>
      </c>
      <c r="B464" t="s">
        <v>244</v>
      </c>
      <c r="C464" t="s">
        <v>49</v>
      </c>
      <c r="D464" t="s">
        <v>264</v>
      </c>
      <c r="E464" s="1">
        <v>45664</v>
      </c>
    </row>
    <row r="465" spans="1:5" x14ac:dyDescent="0.25">
      <c r="A465" t="s">
        <v>721</v>
      </c>
      <c r="B465" t="s">
        <v>244</v>
      </c>
      <c r="C465" t="s">
        <v>49</v>
      </c>
      <c r="D465" t="s">
        <v>257</v>
      </c>
      <c r="E465" s="1">
        <v>45668</v>
      </c>
    </row>
    <row r="466" spans="1:5" x14ac:dyDescent="0.25">
      <c r="A466" t="s">
        <v>722</v>
      </c>
      <c r="B466" t="s">
        <v>245</v>
      </c>
      <c r="C466" t="s">
        <v>45</v>
      </c>
      <c r="D466" t="s">
        <v>255</v>
      </c>
      <c r="E466" s="1">
        <v>45678</v>
      </c>
    </row>
    <row r="467" spans="1:5" x14ac:dyDescent="0.25">
      <c r="A467" t="s">
        <v>723</v>
      </c>
      <c r="B467" t="s">
        <v>245</v>
      </c>
      <c r="C467" t="s">
        <v>33</v>
      </c>
      <c r="D467" t="s">
        <v>264</v>
      </c>
      <c r="E467" s="1">
        <v>45669</v>
      </c>
    </row>
    <row r="468" spans="1:5" x14ac:dyDescent="0.25">
      <c r="A468" t="s">
        <v>724</v>
      </c>
      <c r="B468" t="s">
        <v>245</v>
      </c>
      <c r="C468" t="s">
        <v>49</v>
      </c>
      <c r="D468" t="s">
        <v>257</v>
      </c>
      <c r="E468" s="1">
        <v>45677</v>
      </c>
    </row>
    <row r="469" spans="1:5" x14ac:dyDescent="0.25">
      <c r="A469" t="s">
        <v>725</v>
      </c>
      <c r="B469" t="s">
        <v>245</v>
      </c>
      <c r="C469" t="s">
        <v>33</v>
      </c>
      <c r="D469" t="s">
        <v>261</v>
      </c>
      <c r="E469" s="1">
        <v>45675</v>
      </c>
    </row>
    <row r="470" spans="1:5" x14ac:dyDescent="0.25">
      <c r="A470" t="s">
        <v>726</v>
      </c>
      <c r="B470" t="s">
        <v>246</v>
      </c>
      <c r="C470" t="s">
        <v>33</v>
      </c>
      <c r="D470" t="s">
        <v>255</v>
      </c>
      <c r="E470" s="1">
        <v>45679</v>
      </c>
    </row>
    <row r="471" spans="1:5" x14ac:dyDescent="0.25">
      <c r="A471" t="s">
        <v>727</v>
      </c>
      <c r="B471" t="s">
        <v>247</v>
      </c>
      <c r="C471" t="s">
        <v>49</v>
      </c>
      <c r="D471" t="s">
        <v>46</v>
      </c>
      <c r="E471" s="1">
        <v>45679</v>
      </c>
    </row>
    <row r="472" spans="1:5" x14ac:dyDescent="0.25">
      <c r="A472" t="s">
        <v>728</v>
      </c>
      <c r="B472" t="s">
        <v>248</v>
      </c>
      <c r="C472" t="s">
        <v>33</v>
      </c>
      <c r="D472" t="s">
        <v>264</v>
      </c>
      <c r="E472" s="1">
        <v>45676</v>
      </c>
    </row>
    <row r="473" spans="1:5" x14ac:dyDescent="0.25">
      <c r="A473" t="s">
        <v>729</v>
      </c>
      <c r="B473" t="s">
        <v>248</v>
      </c>
      <c r="C473" t="s">
        <v>49</v>
      </c>
      <c r="D473" t="s">
        <v>255</v>
      </c>
      <c r="E473" s="1">
        <v>45669</v>
      </c>
    </row>
    <row r="474" spans="1:5" x14ac:dyDescent="0.25">
      <c r="A474" t="s">
        <v>730</v>
      </c>
      <c r="B474" t="s">
        <v>249</v>
      </c>
      <c r="C474" t="s">
        <v>38</v>
      </c>
      <c r="D474" t="s">
        <v>46</v>
      </c>
      <c r="E474" s="1">
        <v>45668</v>
      </c>
    </row>
    <row r="475" spans="1:5" x14ac:dyDescent="0.25">
      <c r="A475" t="s">
        <v>731</v>
      </c>
      <c r="B475" t="s">
        <v>249</v>
      </c>
      <c r="C475" t="s">
        <v>45</v>
      </c>
      <c r="D475" t="s">
        <v>257</v>
      </c>
      <c r="E475" s="1">
        <v>45670</v>
      </c>
    </row>
    <row r="476" spans="1:5" x14ac:dyDescent="0.25">
      <c r="A476" t="s">
        <v>732</v>
      </c>
      <c r="B476" t="s">
        <v>250</v>
      </c>
      <c r="C476" t="s">
        <v>38</v>
      </c>
      <c r="D476" t="s">
        <v>255</v>
      </c>
      <c r="E476" s="1">
        <v>45683</v>
      </c>
    </row>
    <row r="477" spans="1:5" x14ac:dyDescent="0.25">
      <c r="A477" t="s">
        <v>733</v>
      </c>
      <c r="B477" t="s">
        <v>250</v>
      </c>
      <c r="C477" t="s">
        <v>33</v>
      </c>
      <c r="D477" t="s">
        <v>257</v>
      </c>
      <c r="E477" s="1">
        <v>45687</v>
      </c>
    </row>
    <row r="478" spans="1:5" x14ac:dyDescent="0.25">
      <c r="A478" t="s">
        <v>734</v>
      </c>
      <c r="B478" t="s">
        <v>250</v>
      </c>
      <c r="C478" t="s">
        <v>33</v>
      </c>
      <c r="D478" t="s">
        <v>264</v>
      </c>
      <c r="E478" s="1">
        <v>45692</v>
      </c>
    </row>
    <row r="479" spans="1:5" x14ac:dyDescent="0.25">
      <c r="A479" t="s">
        <v>735</v>
      </c>
      <c r="B479" t="s">
        <v>250</v>
      </c>
      <c r="C479" t="s">
        <v>33</v>
      </c>
      <c r="D479" t="s">
        <v>261</v>
      </c>
      <c r="E479" s="1">
        <v>45680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defaultRowHeight="15" x14ac:dyDescent="0.25"/>
  <cols>
    <col min="1" max="1" width="10" bestFit="1" customWidth="1"/>
  </cols>
  <sheetData>
    <row r="1" spans="1:1" x14ac:dyDescent="0.25">
      <c r="A1" t="s">
        <v>736</v>
      </c>
    </row>
    <row r="2" spans="1:1" x14ac:dyDescent="0.25">
      <c r="A2" t="s">
        <v>33</v>
      </c>
    </row>
    <row r="3" spans="1:1" x14ac:dyDescent="0.25">
      <c r="A3" t="s">
        <v>45</v>
      </c>
    </row>
    <row r="4" spans="1:1" x14ac:dyDescent="0.25">
      <c r="A4" t="s">
        <v>49</v>
      </c>
    </row>
    <row r="5" spans="1:1" x14ac:dyDescent="0.25">
      <c r="A5" t="s">
        <v>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33F8-94DD-46AA-83F3-0919CCC319EB}">
  <dimension ref="A1:R201"/>
  <sheetViews>
    <sheetView zoomScaleNormal="100" workbookViewId="0">
      <selection activeCell="S6" sqref="S6"/>
    </sheetView>
  </sheetViews>
  <sheetFormatPr defaultRowHeight="15" x14ac:dyDescent="0.25"/>
  <cols>
    <col min="1" max="1" width="15" customWidth="1"/>
    <col min="2" max="2" width="9.42578125" customWidth="1"/>
    <col min="3" max="3" width="11.28515625" customWidth="1"/>
    <col min="4" max="4" width="13.42578125" bestFit="1" customWidth="1"/>
    <col min="5" max="5" width="15.42578125" style="2" customWidth="1"/>
    <col min="6" max="6" width="15.7109375" customWidth="1"/>
    <col min="7" max="7" width="12.140625" customWidth="1"/>
    <col min="8" max="8" width="10.5703125" customWidth="1"/>
    <col min="9" max="9" width="18.7109375" style="2" bestFit="1" customWidth="1"/>
    <col min="10" max="10" width="18" style="2" customWidth="1"/>
    <col min="11" max="11" width="12.140625" style="2" bestFit="1" customWidth="1"/>
    <col min="12" max="12" width="18.140625" bestFit="1" customWidth="1"/>
    <col min="13" max="13" width="16.5703125" bestFit="1" customWidth="1"/>
    <col min="14" max="14" width="11.5703125" bestFit="1" customWidth="1"/>
    <col min="15" max="15" width="18" bestFit="1" customWidth="1"/>
    <col min="16" max="16" width="20.42578125" bestFit="1" customWidth="1"/>
    <col min="17" max="17" width="15.42578125" style="4" bestFit="1" customWidth="1"/>
    <col min="18" max="18" width="18.7109375" style="4" bestFit="1" customWidth="1"/>
  </cols>
  <sheetData>
    <row r="1" spans="1:18" x14ac:dyDescent="0.25">
      <c r="A1" t="s">
        <v>25</v>
      </c>
      <c r="B1" t="s">
        <v>0</v>
      </c>
      <c r="C1" t="s">
        <v>26</v>
      </c>
      <c r="D1" t="s">
        <v>27</v>
      </c>
      <c r="E1" s="2" t="s">
        <v>28</v>
      </c>
      <c r="F1" t="s">
        <v>29</v>
      </c>
      <c r="G1" t="s">
        <v>30</v>
      </c>
      <c r="H1" t="s">
        <v>31</v>
      </c>
      <c r="I1" s="2" t="s">
        <v>745</v>
      </c>
      <c r="J1" s="3" t="s">
        <v>741</v>
      </c>
      <c r="K1" s="2" t="s">
        <v>742</v>
      </c>
      <c r="L1" t="s">
        <v>738</v>
      </c>
      <c r="M1" t="s">
        <v>739</v>
      </c>
      <c r="N1" t="s">
        <v>740</v>
      </c>
      <c r="O1" t="s">
        <v>737</v>
      </c>
      <c r="P1" t="s">
        <v>746</v>
      </c>
      <c r="Q1" s="4" t="s">
        <v>743</v>
      </c>
      <c r="R1" s="4" t="s">
        <v>744</v>
      </c>
    </row>
    <row r="2" spans="1:18" x14ac:dyDescent="0.25">
      <c r="A2" t="s">
        <v>32</v>
      </c>
      <c r="B2" t="s">
        <v>17</v>
      </c>
      <c r="C2" t="s">
        <v>33</v>
      </c>
      <c r="D2" t="s">
        <v>34</v>
      </c>
      <c r="E2" s="2">
        <v>45675</v>
      </c>
      <c r="F2" t="s">
        <v>35</v>
      </c>
      <c r="G2">
        <v>9</v>
      </c>
      <c r="H2" t="s">
        <v>36</v>
      </c>
      <c r="I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45676</v>
      </c>
      <c r="J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2" s="2" t="str">
        <f>IFERROR(IF(_xlfn.MINIFS(tblActivities[Activity_Date],tblActivities[Activity_Type],"Hired",tblActivities[Candidate_ID],Data_Model[[#This Row],[Candidate_ID]])=0,"",_xlfn.MINIFS(tblActivities[Activity_Date],tblActivities[Activity_Type],"Hired",tblActivities[Candidate_ID],Data_Model[[#This Row],[Candidate_ID]])),"")</f>
        <v/>
      </c>
      <c r="L2">
        <f>IF(Data_Model[[#This Row],[Submission_Date]]="",0,1)</f>
        <v>1</v>
      </c>
      <c r="M2">
        <f>IF(Data_Model[[#This Row],[Interview_Date]]="",0,1)</f>
        <v>0</v>
      </c>
      <c r="N2">
        <f>IF(Data_Model[[#This Row],[Hire_Date]]="",0,1)</f>
        <v>0</v>
      </c>
      <c r="O2">
        <f>IF(OR(Data_Model[ [#This Row],[Submission_Date] ]= "",Data_Model[[#This Row],[Resume_Date]] = "",Data_Model[[#This Row],[Submission_Date]] &lt; Data_Model[[#This Row],[Resume_Date]]), "",Data_Model[[#This Row],[Submission_Date]] - Data_Model[[#This Row],[Resume_Date]])</f>
        <v>1</v>
      </c>
      <c r="P2" t="str">
        <f>IF(OR(Data_Model[[#This Row],[Submission_Date]]="",Data_Model[[#This Row],[Interview_Date]]="",Data_Model[[#This Row],[Interview_Date]] &lt; Data_Model[[#This Row],[Submission_Date]]),"",Data_Model[[#This Row],[Interview_Date]]-Data_Model[[#This Row],[Submission_Date]])</f>
        <v/>
      </c>
      <c r="Q2" s="4" t="str">
        <f>IF(OR(Data_Model[[#This Row],[Submission_Date]]="",Data_Model[[#This Row],[Hire_Date]]="",Data_Model[[#This Row],[Hire_Date]] &lt; Data_Model[[#This Row],[Submission_Date]]),"",Data_Model[[#This Row],[Hire_Date]]-Data_Model[[#This Row],[Submission_Date]])</f>
        <v/>
      </c>
      <c r="R2" s="4">
        <f>IF(AND(Data_Model[[#This Row],[Submission_Flag]]=1,Data_Model[[#This Row],[Hire_Flag]]=1,Data_Model[[#This Row],[Hire_Date]]&lt;Data_Model[[#This Row],[Submission_Date]]),1,0)</f>
        <v>0</v>
      </c>
    </row>
    <row r="3" spans="1:18" x14ac:dyDescent="0.25">
      <c r="A3" t="s">
        <v>37</v>
      </c>
      <c r="B3" t="s">
        <v>6</v>
      </c>
      <c r="C3" t="s">
        <v>38</v>
      </c>
      <c r="D3" t="s">
        <v>39</v>
      </c>
      <c r="E3" s="2">
        <v>45669</v>
      </c>
      <c r="F3" t="s">
        <v>40</v>
      </c>
      <c r="G3">
        <v>9</v>
      </c>
      <c r="H3" t="s">
        <v>36</v>
      </c>
      <c r="I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45687</v>
      </c>
      <c r="J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3" s="2">
        <f>IFERROR(IF(_xlfn.MINIFS(tblActivities[Activity_Date],tblActivities[Activity_Type],"Hired",tblActivities[Candidate_ID],Data_Model[[#This Row],[Candidate_ID]])=0,"",_xlfn.MINIFS(tblActivities[Activity_Date],tblActivities[Activity_Type],"Hired",tblActivities[Candidate_ID],Data_Model[[#This Row],[Candidate_ID]])),"")</f>
        <v>45686</v>
      </c>
      <c r="L3">
        <f>IF(Data_Model[[#This Row],[Submission_Date]]="",0,1)</f>
        <v>1</v>
      </c>
      <c r="M3">
        <f>IF(Data_Model[[#This Row],[Interview_Date]]="",0,1)</f>
        <v>0</v>
      </c>
      <c r="N3">
        <f>IF(Data_Model[[#This Row],[Hire_Date]]="",0,1)</f>
        <v>1</v>
      </c>
      <c r="O3">
        <f>IF(OR(Data_Model[ [#This Row],[Submission_Date] ]= "",Data_Model[[#This Row],[Resume_Date]] = "",Data_Model[[#This Row],[Submission_Date]] &lt; Data_Model[[#This Row],[Resume_Date]]), "",Data_Model[[#This Row],[Submission_Date]] - Data_Model[[#This Row],[Resume_Date]])</f>
        <v>18</v>
      </c>
      <c r="P3" t="str">
        <f>IF(OR(Data_Model[[#This Row],[Submission_Date]]="",Data_Model[[#This Row],[Interview_Date]]="",Data_Model[[#This Row],[Interview_Date]] &lt; Data_Model[[#This Row],[Submission_Date]]),"",Data_Model[[#This Row],[Interview_Date]]-Data_Model[[#This Row],[Submission_Date]])</f>
        <v/>
      </c>
      <c r="Q3" s="4" t="str">
        <f>IF(OR(Data_Model[[#This Row],[Submission_Date]]="",Data_Model[[#This Row],[Hire_Date]]="",Data_Model[[#This Row],[Hire_Date]] &lt; Data_Model[[#This Row],[Submission_Date]]),"",Data_Model[[#This Row],[Hire_Date]]-Data_Model[[#This Row],[Submission_Date]])</f>
        <v/>
      </c>
      <c r="R3" s="4">
        <f>IF(AND(Data_Model[[#This Row],[Submission_Flag]]=1,Data_Model[[#This Row],[Hire_Flag]]=1,Data_Model[[#This Row],[Hire_Date]]&lt;Data_Model[[#This Row],[Submission_Date]]),1,0)</f>
        <v>1</v>
      </c>
    </row>
    <row r="4" spans="1:18" x14ac:dyDescent="0.25">
      <c r="A4" t="s">
        <v>41</v>
      </c>
      <c r="B4" t="s">
        <v>6</v>
      </c>
      <c r="C4" t="s">
        <v>33</v>
      </c>
      <c r="D4" t="s">
        <v>42</v>
      </c>
      <c r="E4" s="2">
        <v>45671</v>
      </c>
      <c r="F4" t="s">
        <v>43</v>
      </c>
      <c r="G4">
        <v>3</v>
      </c>
      <c r="H4" t="s">
        <v>36</v>
      </c>
      <c r="I4"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45675</v>
      </c>
      <c r="K4" s="2" t="str">
        <f>IFERROR(IF(_xlfn.MINIFS(tblActivities[Activity_Date],tblActivities[Activity_Type],"Hired",tblActivities[Candidate_ID],Data_Model[[#This Row],[Candidate_ID]])=0,"",_xlfn.MINIFS(tblActivities[Activity_Date],tblActivities[Activity_Type],"Hired",tblActivities[Candidate_ID],Data_Model[[#This Row],[Candidate_ID]])),"")</f>
        <v/>
      </c>
      <c r="L4">
        <f>IF(Data_Model[[#This Row],[Submission_Date]]="",0,1)</f>
        <v>1</v>
      </c>
      <c r="M4">
        <f>IF(Data_Model[[#This Row],[Interview_Date]]="",0,1)</f>
        <v>1</v>
      </c>
      <c r="N4">
        <f>IF(Data_Model[[#This Row],[Hire_Date]]="",0,1)</f>
        <v>0</v>
      </c>
      <c r="O4" t="str">
        <f>IF(OR(Data_Model[ [#This Row],[Submission_Date] ]= "",Data_Model[[#This Row],[Resume_Date]] = "",Data_Model[[#This Row],[Submission_Date]] &lt; Data_Model[[#This Row],[Resume_Date]]), "",Data_Model[[#This Row],[Submission_Date]] - Data_Model[[#This Row],[Resume_Date]])</f>
        <v/>
      </c>
      <c r="P4">
        <f>IF(OR(Data_Model[[#This Row],[Submission_Date]]="",Data_Model[[#This Row],[Interview_Date]]="",Data_Model[[#This Row],[Interview_Date]] &lt; Data_Model[[#This Row],[Submission_Date]]),"",Data_Model[[#This Row],[Interview_Date]]-Data_Model[[#This Row],[Submission_Date]])</f>
        <v>5</v>
      </c>
      <c r="Q4" s="4" t="str">
        <f>IF(OR(Data_Model[[#This Row],[Submission_Date]]="",Data_Model[[#This Row],[Hire_Date]]="",Data_Model[[#This Row],[Hire_Date]] &lt; Data_Model[[#This Row],[Submission_Date]]),"",Data_Model[[#This Row],[Hire_Date]]-Data_Model[[#This Row],[Submission_Date]])</f>
        <v/>
      </c>
      <c r="R4" s="4">
        <f>IF(AND(Data_Model[[#This Row],[Submission_Flag]]=1,Data_Model[[#This Row],[Hire_Flag]]=1,Data_Model[[#This Row],[Hire_Date]]&lt;Data_Model[[#This Row],[Submission_Date]]),1,0)</f>
        <v>0</v>
      </c>
    </row>
    <row r="5" spans="1:18" x14ac:dyDescent="0.25">
      <c r="A5" t="s">
        <v>44</v>
      </c>
      <c r="B5" t="s">
        <v>10</v>
      </c>
      <c r="C5" t="s">
        <v>45</v>
      </c>
      <c r="D5" t="s">
        <v>34</v>
      </c>
      <c r="E5" s="2">
        <v>45659</v>
      </c>
      <c r="F5" t="s">
        <v>46</v>
      </c>
      <c r="G5">
        <v>4</v>
      </c>
      <c r="H5" t="s">
        <v>47</v>
      </c>
      <c r="I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5" s="2" t="str">
        <f>IFERROR(IF(_xlfn.MINIFS(tblActivities[Activity_Date],tblActivities[Activity_Type],"Hired",tblActivities[Candidate_ID],Data_Model[[#This Row],[Candidate_ID]])=0,"",_xlfn.MINIFS(tblActivities[Activity_Date],tblActivities[Activity_Type],"Hired",tblActivities[Candidate_ID],Data_Model[[#This Row],[Candidate_ID]])),"")</f>
        <v/>
      </c>
      <c r="L5">
        <f>IF(Data_Model[[#This Row],[Submission_Date]]="",0,1)</f>
        <v>1</v>
      </c>
      <c r="M5">
        <f>IF(Data_Model[[#This Row],[Interview_Date]]="",0,1)</f>
        <v>0</v>
      </c>
      <c r="N5">
        <f>IF(Data_Model[[#This Row],[Hire_Date]]="",0,1)</f>
        <v>0</v>
      </c>
      <c r="O5">
        <f>IF(OR(Data_Model[ [#This Row],[Submission_Date] ]= "",Data_Model[[#This Row],[Resume_Date]] = "",Data_Model[[#This Row],[Submission_Date]] &lt; Data_Model[[#This Row],[Resume_Date]]), "",Data_Model[[#This Row],[Submission_Date]] - Data_Model[[#This Row],[Resume_Date]])</f>
        <v>18</v>
      </c>
      <c r="P5" t="str">
        <f>IF(OR(Data_Model[[#This Row],[Submission_Date]]="",Data_Model[[#This Row],[Interview_Date]]="",Data_Model[[#This Row],[Interview_Date]] &lt; Data_Model[[#This Row],[Submission_Date]]),"",Data_Model[[#This Row],[Interview_Date]]-Data_Model[[#This Row],[Submission_Date]])</f>
        <v/>
      </c>
      <c r="Q5" s="4" t="str">
        <f>IF(OR(Data_Model[[#This Row],[Submission_Date]]="",Data_Model[[#This Row],[Hire_Date]]="",Data_Model[[#This Row],[Hire_Date]] &lt; Data_Model[[#This Row],[Submission_Date]]),"",Data_Model[[#This Row],[Hire_Date]]-Data_Model[[#This Row],[Submission_Date]])</f>
        <v/>
      </c>
      <c r="R5" s="4">
        <f>IF(AND(Data_Model[[#This Row],[Submission_Flag]]=1,Data_Model[[#This Row],[Hire_Flag]]=1,Data_Model[[#This Row],[Hire_Date]]&lt;Data_Model[[#This Row],[Submission_Date]]),1,0)</f>
        <v>0</v>
      </c>
    </row>
    <row r="6" spans="1:18" x14ac:dyDescent="0.25">
      <c r="A6" t="s">
        <v>48</v>
      </c>
      <c r="B6" t="s">
        <v>19</v>
      </c>
      <c r="C6" t="s">
        <v>49</v>
      </c>
      <c r="D6" t="s">
        <v>50</v>
      </c>
      <c r="E6" s="2">
        <v>45664</v>
      </c>
      <c r="F6" t="s">
        <v>46</v>
      </c>
      <c r="G6">
        <v>7</v>
      </c>
      <c r="H6" t="s">
        <v>47</v>
      </c>
      <c r="I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45681</v>
      </c>
      <c r="K6" s="2" t="str">
        <f>IFERROR(IF(_xlfn.MINIFS(tblActivities[Activity_Date],tblActivities[Activity_Type],"Hired",tblActivities[Candidate_ID],Data_Model[[#This Row],[Candidate_ID]])=0,"",_xlfn.MINIFS(tblActivities[Activity_Date],tblActivities[Activity_Type],"Hired",tblActivities[Candidate_ID],Data_Model[[#This Row],[Candidate_ID]])),"")</f>
        <v/>
      </c>
      <c r="L6">
        <f>IF(Data_Model[[#This Row],[Submission_Date]]="",0,1)</f>
        <v>1</v>
      </c>
      <c r="M6">
        <f>IF(Data_Model[[#This Row],[Interview_Date]]="",0,1)</f>
        <v>1</v>
      </c>
      <c r="N6">
        <f>IF(Data_Model[[#This Row],[Hire_Date]]="",0,1)</f>
        <v>0</v>
      </c>
      <c r="O6">
        <f>IF(OR(Data_Model[ [#This Row],[Submission_Date] ]= "",Data_Model[[#This Row],[Resume_Date]] = "",Data_Model[[#This Row],[Submission_Date]] &lt; Data_Model[[#This Row],[Resume_Date]]), "",Data_Model[[#This Row],[Submission_Date]] - Data_Model[[#This Row],[Resume_Date]])</f>
        <v>6</v>
      </c>
      <c r="P6">
        <f>IF(OR(Data_Model[[#This Row],[Submission_Date]]="",Data_Model[[#This Row],[Interview_Date]]="",Data_Model[[#This Row],[Interview_Date]] &lt; Data_Model[[#This Row],[Submission_Date]]),"",Data_Model[[#This Row],[Interview_Date]]-Data_Model[[#This Row],[Submission_Date]])</f>
        <v>11</v>
      </c>
      <c r="Q6" s="4" t="str">
        <f>IF(OR(Data_Model[[#This Row],[Submission_Date]]="",Data_Model[[#This Row],[Hire_Date]]="",Data_Model[[#This Row],[Hire_Date]] &lt; Data_Model[[#This Row],[Submission_Date]]),"",Data_Model[[#This Row],[Hire_Date]]-Data_Model[[#This Row],[Submission_Date]])</f>
        <v/>
      </c>
      <c r="R6" s="4">
        <f>IF(AND(Data_Model[[#This Row],[Submission_Flag]]=1,Data_Model[[#This Row],[Hire_Flag]]=1,Data_Model[[#This Row],[Hire_Date]]&lt;Data_Model[[#This Row],[Submission_Date]]),1,0)</f>
        <v>0</v>
      </c>
    </row>
    <row r="7" spans="1:18" x14ac:dyDescent="0.25">
      <c r="A7" t="s">
        <v>51</v>
      </c>
      <c r="B7" t="s">
        <v>10</v>
      </c>
      <c r="C7" t="s">
        <v>49</v>
      </c>
      <c r="D7" t="s">
        <v>52</v>
      </c>
      <c r="E7" s="2">
        <v>45665</v>
      </c>
      <c r="F7" t="s">
        <v>35</v>
      </c>
      <c r="G7">
        <v>9</v>
      </c>
      <c r="H7" t="s">
        <v>47</v>
      </c>
      <c r="I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7" s="2">
        <f>IFERROR(IF(_xlfn.MINIFS(tblActivities[Activity_Date],tblActivities[Activity_Type],"Hired",tblActivities[Candidate_ID],Data_Model[[#This Row],[Candidate_ID]])=0,"",_xlfn.MINIFS(tblActivities[Activity_Date],tblActivities[Activity_Type],"Hired",tblActivities[Candidate_ID],Data_Model[[#This Row],[Candidate_ID]])),"")</f>
        <v>45661</v>
      </c>
      <c r="L7">
        <f>IF(Data_Model[[#This Row],[Submission_Date]]="",0,1)</f>
        <v>1</v>
      </c>
      <c r="M7">
        <f>IF(Data_Model[[#This Row],[Interview_Date]]="",0,1)</f>
        <v>0</v>
      </c>
      <c r="N7">
        <f>IF(Data_Model[[#This Row],[Hire_Date]]="",0,1)</f>
        <v>1</v>
      </c>
      <c r="O7">
        <f>IF(OR(Data_Model[ [#This Row],[Submission_Date] ]= "",Data_Model[[#This Row],[Resume_Date]] = "",Data_Model[[#This Row],[Submission_Date]] &lt; Data_Model[[#This Row],[Resume_Date]]), "",Data_Model[[#This Row],[Submission_Date]] - Data_Model[[#This Row],[Resume_Date]])</f>
        <v>5</v>
      </c>
      <c r="P7" t="str">
        <f>IF(OR(Data_Model[[#This Row],[Submission_Date]]="",Data_Model[[#This Row],[Interview_Date]]="",Data_Model[[#This Row],[Interview_Date]] &lt; Data_Model[[#This Row],[Submission_Date]]),"",Data_Model[[#This Row],[Interview_Date]]-Data_Model[[#This Row],[Submission_Date]])</f>
        <v/>
      </c>
      <c r="Q7" s="4" t="str">
        <f>IF(OR(Data_Model[[#This Row],[Submission_Date]]="",Data_Model[[#This Row],[Hire_Date]]="",Data_Model[[#This Row],[Hire_Date]] &lt; Data_Model[[#This Row],[Submission_Date]]),"",Data_Model[[#This Row],[Hire_Date]]-Data_Model[[#This Row],[Submission_Date]])</f>
        <v/>
      </c>
      <c r="R7" s="4">
        <f>IF(AND(Data_Model[[#This Row],[Submission_Flag]]=1,Data_Model[[#This Row],[Hire_Flag]]=1,Data_Model[[#This Row],[Hire_Date]]&lt;Data_Model[[#This Row],[Submission_Date]]),1,0)</f>
        <v>1</v>
      </c>
    </row>
    <row r="8" spans="1:18" x14ac:dyDescent="0.25">
      <c r="A8" t="s">
        <v>53</v>
      </c>
      <c r="B8" t="s">
        <v>6</v>
      </c>
      <c r="C8" t="s">
        <v>33</v>
      </c>
      <c r="D8" t="s">
        <v>50</v>
      </c>
      <c r="E8" s="2">
        <v>45673</v>
      </c>
      <c r="F8" t="s">
        <v>43</v>
      </c>
      <c r="G8">
        <v>3</v>
      </c>
      <c r="H8" t="s">
        <v>36</v>
      </c>
      <c r="I8"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8"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45675</v>
      </c>
      <c r="K8" s="2" t="str">
        <f>IFERROR(IF(_xlfn.MINIFS(tblActivities[Activity_Date],tblActivities[Activity_Type],"Hired",tblActivities[Candidate_ID],Data_Model[[#This Row],[Candidate_ID]])=0,"",_xlfn.MINIFS(tblActivities[Activity_Date],tblActivities[Activity_Type],"Hired",tblActivities[Candidate_ID],Data_Model[[#This Row],[Candidate_ID]])),"")</f>
        <v/>
      </c>
      <c r="L8">
        <f>IF(Data_Model[[#This Row],[Submission_Date]]="",0,1)</f>
        <v>1</v>
      </c>
      <c r="M8">
        <f>IF(Data_Model[[#This Row],[Interview_Date]]="",0,1)</f>
        <v>1</v>
      </c>
      <c r="N8">
        <f>IF(Data_Model[[#This Row],[Hire_Date]]="",0,1)</f>
        <v>0</v>
      </c>
      <c r="O8">
        <f>IF(OR(Data_Model[ [#This Row],[Submission_Date] ]= "",Data_Model[[#This Row],[Resume_Date]] = "",Data_Model[[#This Row],[Submission_Date]] &lt; Data_Model[[#This Row],[Resume_Date]]), "",Data_Model[[#This Row],[Submission_Date]] - Data_Model[[#This Row],[Resume_Date]])</f>
        <v>5</v>
      </c>
      <c r="P8" t="str">
        <f>IF(OR(Data_Model[[#This Row],[Submission_Date]]="",Data_Model[[#This Row],[Interview_Date]]="",Data_Model[[#This Row],[Interview_Date]] &lt; Data_Model[[#This Row],[Submission_Date]]),"",Data_Model[[#This Row],[Interview_Date]]-Data_Model[[#This Row],[Submission_Date]])</f>
        <v/>
      </c>
      <c r="Q8" s="4" t="str">
        <f>IF(OR(Data_Model[[#This Row],[Submission_Date]]="",Data_Model[[#This Row],[Hire_Date]]="",Data_Model[[#This Row],[Hire_Date]] &lt; Data_Model[[#This Row],[Submission_Date]]),"",Data_Model[[#This Row],[Hire_Date]]-Data_Model[[#This Row],[Submission_Date]])</f>
        <v/>
      </c>
      <c r="R8" s="4">
        <f>IF(AND(Data_Model[[#This Row],[Submission_Flag]]=1,Data_Model[[#This Row],[Hire_Flag]]=1,Data_Model[[#This Row],[Hire_Date]]&lt;Data_Model[[#This Row],[Submission_Date]]),1,0)</f>
        <v>0</v>
      </c>
    </row>
    <row r="9" spans="1:18" x14ac:dyDescent="0.25">
      <c r="A9" t="s">
        <v>54</v>
      </c>
      <c r="B9" t="s">
        <v>22</v>
      </c>
      <c r="C9" t="s">
        <v>38</v>
      </c>
      <c r="D9" t="s">
        <v>50</v>
      </c>
      <c r="E9" s="2">
        <v>45662</v>
      </c>
      <c r="F9" t="s">
        <v>46</v>
      </c>
      <c r="G9">
        <v>4</v>
      </c>
      <c r="H9" t="s">
        <v>36</v>
      </c>
      <c r="I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45681</v>
      </c>
      <c r="J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9" s="2">
        <f>IFERROR(IF(_xlfn.MINIFS(tblActivities[Activity_Date],tblActivities[Activity_Type],"Hired",tblActivities[Candidate_ID],Data_Model[[#This Row],[Candidate_ID]])=0,"",_xlfn.MINIFS(tblActivities[Activity_Date],tblActivities[Activity_Type],"Hired",tblActivities[Candidate_ID],Data_Model[[#This Row],[Candidate_ID]])),"")</f>
        <v>45687</v>
      </c>
      <c r="L9">
        <f>IF(Data_Model[[#This Row],[Submission_Date]]="",0,1)</f>
        <v>1</v>
      </c>
      <c r="M9">
        <f>IF(Data_Model[[#This Row],[Interview_Date]]="",0,1)</f>
        <v>0</v>
      </c>
      <c r="N9">
        <f>IF(Data_Model[[#This Row],[Hire_Date]]="",0,1)</f>
        <v>1</v>
      </c>
      <c r="O9">
        <f>IF(OR(Data_Model[ [#This Row],[Submission_Date] ]= "",Data_Model[[#This Row],[Resume_Date]] = "",Data_Model[[#This Row],[Submission_Date]] &lt; Data_Model[[#This Row],[Resume_Date]]), "",Data_Model[[#This Row],[Submission_Date]] - Data_Model[[#This Row],[Resume_Date]])</f>
        <v>19</v>
      </c>
      <c r="P9" t="str">
        <f>IF(OR(Data_Model[[#This Row],[Submission_Date]]="",Data_Model[[#This Row],[Interview_Date]]="",Data_Model[[#This Row],[Interview_Date]] &lt; Data_Model[[#This Row],[Submission_Date]]),"",Data_Model[[#This Row],[Interview_Date]]-Data_Model[[#This Row],[Submission_Date]])</f>
        <v/>
      </c>
      <c r="Q9" s="4">
        <f>IF(OR(Data_Model[[#This Row],[Submission_Date]]="",Data_Model[[#This Row],[Hire_Date]]="",Data_Model[[#This Row],[Hire_Date]] &lt; Data_Model[[#This Row],[Submission_Date]]),"",Data_Model[[#This Row],[Hire_Date]]-Data_Model[[#This Row],[Submission_Date]])</f>
        <v>6</v>
      </c>
      <c r="R9" s="4">
        <f>IF(AND(Data_Model[[#This Row],[Submission_Flag]]=1,Data_Model[[#This Row],[Hire_Flag]]=1,Data_Model[[#This Row],[Hire_Date]]&lt;Data_Model[[#This Row],[Submission_Date]]),1,0)</f>
        <v>0</v>
      </c>
    </row>
    <row r="10" spans="1:18" x14ac:dyDescent="0.25">
      <c r="A10" t="s">
        <v>55</v>
      </c>
      <c r="B10" t="s">
        <v>10</v>
      </c>
      <c r="C10" t="s">
        <v>33</v>
      </c>
      <c r="D10" t="s">
        <v>42</v>
      </c>
      <c r="E10" s="2">
        <v>45661</v>
      </c>
      <c r="F10" t="s">
        <v>40</v>
      </c>
      <c r="G10">
        <v>4</v>
      </c>
      <c r="H10" t="s">
        <v>47</v>
      </c>
      <c r="I1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45669</v>
      </c>
      <c r="J1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45673</v>
      </c>
      <c r="K10" s="2">
        <f>IFERROR(IF(_xlfn.MINIFS(tblActivities[Activity_Date],tblActivities[Activity_Type],"Hired",tblActivities[Candidate_ID],Data_Model[[#This Row],[Candidate_ID]])=0,"",_xlfn.MINIFS(tblActivities[Activity_Date],tblActivities[Activity_Type],"Hired",tblActivities[Candidate_ID],Data_Model[[#This Row],[Candidate_ID]])),"")</f>
        <v>45676</v>
      </c>
      <c r="L10">
        <f>IF(Data_Model[[#This Row],[Submission_Date]]="",0,1)</f>
        <v>1</v>
      </c>
      <c r="M10">
        <f>IF(Data_Model[[#This Row],[Interview_Date]]="",0,1)</f>
        <v>1</v>
      </c>
      <c r="N10">
        <f>IF(Data_Model[[#This Row],[Hire_Date]]="",0,1)</f>
        <v>1</v>
      </c>
      <c r="O10">
        <f>IF(OR(Data_Model[ [#This Row],[Submission_Date] ]= "",Data_Model[[#This Row],[Resume_Date]] = "",Data_Model[[#This Row],[Submission_Date]] &lt; Data_Model[[#This Row],[Resume_Date]]), "",Data_Model[[#This Row],[Submission_Date]] - Data_Model[[#This Row],[Resume_Date]])</f>
        <v>8</v>
      </c>
      <c r="P10">
        <f>IF(OR(Data_Model[[#This Row],[Submission_Date]]="",Data_Model[[#This Row],[Interview_Date]]="",Data_Model[[#This Row],[Interview_Date]] &lt; Data_Model[[#This Row],[Submission_Date]]),"",Data_Model[[#This Row],[Interview_Date]]-Data_Model[[#This Row],[Submission_Date]])</f>
        <v>4</v>
      </c>
      <c r="Q10" s="4">
        <f>IF(OR(Data_Model[[#This Row],[Submission_Date]]="",Data_Model[[#This Row],[Hire_Date]]="",Data_Model[[#This Row],[Hire_Date]] &lt; Data_Model[[#This Row],[Submission_Date]]),"",Data_Model[[#This Row],[Hire_Date]]-Data_Model[[#This Row],[Submission_Date]])</f>
        <v>7</v>
      </c>
      <c r="R10" s="4">
        <f>IF(AND(Data_Model[[#This Row],[Submission_Flag]]=1,Data_Model[[#This Row],[Hire_Flag]]=1,Data_Model[[#This Row],[Hire_Date]]&lt;Data_Model[[#This Row],[Submission_Date]]),1,0)</f>
        <v>0</v>
      </c>
    </row>
    <row r="11" spans="1:18" x14ac:dyDescent="0.25">
      <c r="A11" t="s">
        <v>56</v>
      </c>
      <c r="B11" t="s">
        <v>24</v>
      </c>
      <c r="C11" t="s">
        <v>45</v>
      </c>
      <c r="D11" t="s">
        <v>50</v>
      </c>
      <c r="E11" s="2">
        <v>45667</v>
      </c>
      <c r="F11" t="s">
        <v>43</v>
      </c>
      <c r="G11">
        <v>1</v>
      </c>
      <c r="H11" t="s">
        <v>57</v>
      </c>
      <c r="I1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1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45686</v>
      </c>
      <c r="K11" s="2">
        <f>IFERROR(IF(_xlfn.MINIFS(tblActivities[Activity_Date],tblActivities[Activity_Type],"Hired",tblActivities[Candidate_ID],Data_Model[[#This Row],[Candidate_ID]])=0,"",_xlfn.MINIFS(tblActivities[Activity_Date],tblActivities[Activity_Type],"Hired",tblActivities[Candidate_ID],Data_Model[[#This Row],[Candidate_ID]])),"")</f>
        <v>45682</v>
      </c>
      <c r="L11">
        <f>IF(Data_Model[[#This Row],[Submission_Date]]="",0,1)</f>
        <v>1</v>
      </c>
      <c r="M11">
        <f>IF(Data_Model[[#This Row],[Interview_Date]]="",0,1)</f>
        <v>1</v>
      </c>
      <c r="N11">
        <f>IF(Data_Model[[#This Row],[Hire_Date]]="",0,1)</f>
        <v>1</v>
      </c>
      <c r="O11">
        <f>IF(OR(Data_Model[ [#This Row],[Submission_Date] ]= "",Data_Model[[#This Row],[Resume_Date]] = "",Data_Model[[#This Row],[Submission_Date]] &lt; Data_Model[[#This Row],[Resume_Date]]), "",Data_Model[[#This Row],[Submission_Date]] - Data_Model[[#This Row],[Resume_Date]])</f>
        <v>13</v>
      </c>
      <c r="P11">
        <f>IF(OR(Data_Model[[#This Row],[Submission_Date]]="",Data_Model[[#This Row],[Interview_Date]]="",Data_Model[[#This Row],[Interview_Date]] &lt; Data_Model[[#This Row],[Submission_Date]]),"",Data_Model[[#This Row],[Interview_Date]]-Data_Model[[#This Row],[Submission_Date]])</f>
        <v>6</v>
      </c>
      <c r="Q11" s="4">
        <f>IF(OR(Data_Model[[#This Row],[Submission_Date]]="",Data_Model[[#This Row],[Hire_Date]]="",Data_Model[[#This Row],[Hire_Date]] &lt; Data_Model[[#This Row],[Submission_Date]]),"",Data_Model[[#This Row],[Hire_Date]]-Data_Model[[#This Row],[Submission_Date]])</f>
        <v>2</v>
      </c>
      <c r="R11" s="4">
        <f>IF(AND(Data_Model[[#This Row],[Submission_Flag]]=1,Data_Model[[#This Row],[Hire_Flag]]=1,Data_Model[[#This Row],[Hire_Date]]&lt;Data_Model[[#This Row],[Submission_Date]]),1,0)</f>
        <v>0</v>
      </c>
    </row>
    <row r="12" spans="1:18" x14ac:dyDescent="0.25">
      <c r="A12" t="s">
        <v>58</v>
      </c>
      <c r="B12" t="s">
        <v>22</v>
      </c>
      <c r="C12" t="s">
        <v>45</v>
      </c>
      <c r="D12" t="s">
        <v>50</v>
      </c>
      <c r="E12" s="2">
        <v>45671</v>
      </c>
      <c r="F12" t="s">
        <v>35</v>
      </c>
      <c r="G12">
        <v>7</v>
      </c>
      <c r="H12" t="s">
        <v>47</v>
      </c>
      <c r="I1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45692</v>
      </c>
      <c r="J1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2" s="2" t="str">
        <f>IFERROR(IF(_xlfn.MINIFS(tblActivities[Activity_Date],tblActivities[Activity_Type],"Hired",tblActivities[Candidate_ID],Data_Model[[#This Row],[Candidate_ID]])=0,"",_xlfn.MINIFS(tblActivities[Activity_Date],tblActivities[Activity_Type],"Hired",tblActivities[Candidate_ID],Data_Model[[#This Row],[Candidate_ID]])),"")</f>
        <v/>
      </c>
      <c r="L12">
        <f>IF(Data_Model[[#This Row],[Submission_Date]]="",0,1)</f>
        <v>1</v>
      </c>
      <c r="M12">
        <f>IF(Data_Model[[#This Row],[Interview_Date]]="",0,1)</f>
        <v>0</v>
      </c>
      <c r="N12">
        <f>IF(Data_Model[[#This Row],[Hire_Date]]="",0,1)</f>
        <v>0</v>
      </c>
      <c r="O12">
        <f>IF(OR(Data_Model[ [#This Row],[Submission_Date] ]= "",Data_Model[[#This Row],[Resume_Date]] = "",Data_Model[[#This Row],[Submission_Date]] &lt; Data_Model[[#This Row],[Resume_Date]]), "",Data_Model[[#This Row],[Submission_Date]] - Data_Model[[#This Row],[Resume_Date]])</f>
        <v>21</v>
      </c>
      <c r="P12" t="str">
        <f>IF(OR(Data_Model[[#This Row],[Submission_Date]]="",Data_Model[[#This Row],[Interview_Date]]="",Data_Model[[#This Row],[Interview_Date]] &lt; Data_Model[[#This Row],[Submission_Date]]),"",Data_Model[[#This Row],[Interview_Date]]-Data_Model[[#This Row],[Submission_Date]])</f>
        <v/>
      </c>
      <c r="Q12" s="4" t="str">
        <f>IF(OR(Data_Model[[#This Row],[Submission_Date]]="",Data_Model[[#This Row],[Hire_Date]]="",Data_Model[[#This Row],[Hire_Date]] &lt; Data_Model[[#This Row],[Submission_Date]]),"",Data_Model[[#This Row],[Hire_Date]]-Data_Model[[#This Row],[Submission_Date]])</f>
        <v/>
      </c>
      <c r="R12" s="4">
        <f>IF(AND(Data_Model[[#This Row],[Submission_Flag]]=1,Data_Model[[#This Row],[Hire_Flag]]=1,Data_Model[[#This Row],[Hire_Date]]&lt;Data_Model[[#This Row],[Submission_Date]]),1,0)</f>
        <v>0</v>
      </c>
    </row>
    <row r="13" spans="1:18" x14ac:dyDescent="0.25">
      <c r="A13" t="s">
        <v>59</v>
      </c>
      <c r="B13" t="s">
        <v>19</v>
      </c>
      <c r="C13" t="s">
        <v>38</v>
      </c>
      <c r="D13" t="s">
        <v>50</v>
      </c>
      <c r="E13" s="2">
        <v>45677</v>
      </c>
      <c r="F13" t="s">
        <v>40</v>
      </c>
      <c r="G13">
        <v>4</v>
      </c>
      <c r="H13" t="s">
        <v>60</v>
      </c>
      <c r="I1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45671</v>
      </c>
      <c r="J1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45666</v>
      </c>
      <c r="K13" s="2">
        <f>IFERROR(IF(_xlfn.MINIFS(tblActivities[Activity_Date],tblActivities[Activity_Type],"Hired",tblActivities[Candidate_ID],Data_Model[[#This Row],[Candidate_ID]])=0,"",_xlfn.MINIFS(tblActivities[Activity_Date],tblActivities[Activity_Type],"Hired",tblActivities[Candidate_ID],Data_Model[[#This Row],[Candidate_ID]])),"")</f>
        <v>45674</v>
      </c>
      <c r="L13">
        <f>IF(Data_Model[[#This Row],[Submission_Date]]="",0,1)</f>
        <v>1</v>
      </c>
      <c r="M13">
        <f>IF(Data_Model[[#This Row],[Interview_Date]]="",0,1)</f>
        <v>1</v>
      </c>
      <c r="N13">
        <f>IF(Data_Model[[#This Row],[Hire_Date]]="",0,1)</f>
        <v>1</v>
      </c>
      <c r="O13" t="str">
        <f>IF(OR(Data_Model[ [#This Row],[Submission_Date] ]= "",Data_Model[[#This Row],[Resume_Date]] = "",Data_Model[[#This Row],[Submission_Date]] &lt; Data_Model[[#This Row],[Resume_Date]]), "",Data_Model[[#This Row],[Submission_Date]] - Data_Model[[#This Row],[Resume_Date]])</f>
        <v/>
      </c>
      <c r="P13" t="str">
        <f>IF(OR(Data_Model[[#This Row],[Submission_Date]]="",Data_Model[[#This Row],[Interview_Date]]="",Data_Model[[#This Row],[Interview_Date]] &lt; Data_Model[[#This Row],[Submission_Date]]),"",Data_Model[[#This Row],[Interview_Date]]-Data_Model[[#This Row],[Submission_Date]])</f>
        <v/>
      </c>
      <c r="Q13" s="4">
        <f>IF(OR(Data_Model[[#This Row],[Submission_Date]]="",Data_Model[[#This Row],[Hire_Date]]="",Data_Model[[#This Row],[Hire_Date]] &lt; Data_Model[[#This Row],[Submission_Date]]),"",Data_Model[[#This Row],[Hire_Date]]-Data_Model[[#This Row],[Submission_Date]])</f>
        <v>3</v>
      </c>
      <c r="R13" s="4">
        <f>IF(AND(Data_Model[[#This Row],[Submission_Flag]]=1,Data_Model[[#This Row],[Hire_Flag]]=1,Data_Model[[#This Row],[Hire_Date]]&lt;Data_Model[[#This Row],[Submission_Date]]),1,0)</f>
        <v>0</v>
      </c>
    </row>
    <row r="14" spans="1:18" x14ac:dyDescent="0.25">
      <c r="A14" t="s">
        <v>61</v>
      </c>
      <c r="B14" t="s">
        <v>6</v>
      </c>
      <c r="C14" t="s">
        <v>49</v>
      </c>
      <c r="D14" t="s">
        <v>39</v>
      </c>
      <c r="E14" s="2">
        <v>45677</v>
      </c>
      <c r="F14" t="s">
        <v>62</v>
      </c>
      <c r="G14">
        <v>1</v>
      </c>
      <c r="H14" t="s">
        <v>36</v>
      </c>
      <c r="I1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45690</v>
      </c>
      <c r="K14" s="2">
        <f>IFERROR(IF(_xlfn.MINIFS(tblActivities[Activity_Date],tblActivities[Activity_Type],"Hired",tblActivities[Candidate_ID],Data_Model[[#This Row],[Candidate_ID]])=0,"",_xlfn.MINIFS(tblActivities[Activity_Date],tblActivities[Activity_Type],"Hired",tblActivities[Candidate_ID],Data_Model[[#This Row],[Candidate_ID]])),"")</f>
        <v>45682</v>
      </c>
      <c r="L14">
        <f>IF(Data_Model[[#This Row],[Submission_Date]]="",0,1)</f>
        <v>0</v>
      </c>
      <c r="M14">
        <f>IF(Data_Model[[#This Row],[Interview_Date]]="",0,1)</f>
        <v>1</v>
      </c>
      <c r="N14">
        <f>IF(Data_Model[[#This Row],[Hire_Date]]="",0,1)</f>
        <v>1</v>
      </c>
      <c r="O14" t="str">
        <f>IF(OR(Data_Model[ [#This Row],[Submission_Date] ]= "",Data_Model[[#This Row],[Resume_Date]] = "",Data_Model[[#This Row],[Submission_Date]] &lt; Data_Model[[#This Row],[Resume_Date]]), "",Data_Model[[#This Row],[Submission_Date]] - Data_Model[[#This Row],[Resume_Date]])</f>
        <v/>
      </c>
      <c r="P14" t="str">
        <f>IF(OR(Data_Model[[#This Row],[Submission_Date]]="",Data_Model[[#This Row],[Interview_Date]]="",Data_Model[[#This Row],[Interview_Date]] &lt; Data_Model[[#This Row],[Submission_Date]]),"",Data_Model[[#This Row],[Interview_Date]]-Data_Model[[#This Row],[Submission_Date]])</f>
        <v/>
      </c>
      <c r="Q14" s="4" t="str">
        <f>IF(OR(Data_Model[[#This Row],[Submission_Date]]="",Data_Model[[#This Row],[Hire_Date]]="",Data_Model[[#This Row],[Hire_Date]] &lt; Data_Model[[#This Row],[Submission_Date]]),"",Data_Model[[#This Row],[Hire_Date]]-Data_Model[[#This Row],[Submission_Date]])</f>
        <v/>
      </c>
      <c r="R14" s="4">
        <f>IF(AND(Data_Model[[#This Row],[Submission_Flag]]=1,Data_Model[[#This Row],[Hire_Flag]]=1,Data_Model[[#This Row],[Hire_Date]]&lt;Data_Model[[#This Row],[Submission_Date]]),1,0)</f>
        <v>0</v>
      </c>
    </row>
    <row r="15" spans="1:18" x14ac:dyDescent="0.25">
      <c r="A15" t="s">
        <v>63</v>
      </c>
      <c r="B15" t="s">
        <v>19</v>
      </c>
      <c r="C15" t="s">
        <v>33</v>
      </c>
      <c r="D15" t="s">
        <v>39</v>
      </c>
      <c r="E15" s="2">
        <v>45663</v>
      </c>
      <c r="F15" t="s">
        <v>64</v>
      </c>
      <c r="G15">
        <v>1</v>
      </c>
      <c r="H15" t="s">
        <v>47</v>
      </c>
      <c r="I1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 s="2">
        <f>IFERROR(IF(_xlfn.MINIFS(tblActivities[Activity_Date],tblActivities[Activity_Type],"Hired",tblActivities[Candidate_ID],Data_Model[[#This Row],[Candidate_ID]])=0,"",_xlfn.MINIFS(tblActivities[Activity_Date],tblActivities[Activity_Type],"Hired",tblActivities[Candidate_ID],Data_Model[[#This Row],[Candidate_ID]])),"")</f>
        <v>45679</v>
      </c>
      <c r="L15">
        <f>IF(Data_Model[[#This Row],[Submission_Date]]="",0,1)</f>
        <v>0</v>
      </c>
      <c r="M15">
        <f>IF(Data_Model[[#This Row],[Interview_Date]]="",0,1)</f>
        <v>0</v>
      </c>
      <c r="N15">
        <f>IF(Data_Model[[#This Row],[Hire_Date]]="",0,1)</f>
        <v>1</v>
      </c>
      <c r="O15" t="str">
        <f>IF(OR(Data_Model[ [#This Row],[Submission_Date] ]= "",Data_Model[[#This Row],[Resume_Date]] = "",Data_Model[[#This Row],[Submission_Date]] &lt; Data_Model[[#This Row],[Resume_Date]]), "",Data_Model[[#This Row],[Submission_Date]] - Data_Model[[#This Row],[Resume_Date]])</f>
        <v/>
      </c>
      <c r="P15" t="str">
        <f>IF(OR(Data_Model[[#This Row],[Submission_Date]]="",Data_Model[[#This Row],[Interview_Date]]="",Data_Model[[#This Row],[Interview_Date]] &lt; Data_Model[[#This Row],[Submission_Date]]),"",Data_Model[[#This Row],[Interview_Date]]-Data_Model[[#This Row],[Submission_Date]])</f>
        <v/>
      </c>
      <c r="Q15" s="4" t="str">
        <f>IF(OR(Data_Model[[#This Row],[Submission_Date]]="",Data_Model[[#This Row],[Hire_Date]]="",Data_Model[[#This Row],[Hire_Date]] &lt; Data_Model[[#This Row],[Submission_Date]]),"",Data_Model[[#This Row],[Hire_Date]]-Data_Model[[#This Row],[Submission_Date]])</f>
        <v/>
      </c>
      <c r="R15" s="4">
        <f>IF(AND(Data_Model[[#This Row],[Submission_Flag]]=1,Data_Model[[#This Row],[Hire_Flag]]=1,Data_Model[[#This Row],[Hire_Date]]&lt;Data_Model[[#This Row],[Submission_Date]]),1,0)</f>
        <v>0</v>
      </c>
    </row>
    <row r="16" spans="1:18" x14ac:dyDescent="0.25">
      <c r="A16" t="s">
        <v>65</v>
      </c>
      <c r="B16" t="s">
        <v>16</v>
      </c>
      <c r="C16" t="s">
        <v>38</v>
      </c>
      <c r="D16" t="s">
        <v>39</v>
      </c>
      <c r="E16" s="2">
        <v>45660</v>
      </c>
      <c r="F16" t="s">
        <v>64</v>
      </c>
      <c r="G16">
        <v>5</v>
      </c>
      <c r="H16" t="s">
        <v>36</v>
      </c>
      <c r="I1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6" s="2">
        <f>IFERROR(IF(_xlfn.MINIFS(tblActivities[Activity_Date],tblActivities[Activity_Type],"Hired",tblActivities[Candidate_ID],Data_Model[[#This Row],[Candidate_ID]])=0,"",_xlfn.MINIFS(tblActivities[Activity_Date],tblActivities[Activity_Type],"Hired",tblActivities[Candidate_ID],Data_Model[[#This Row],[Candidate_ID]])),"")</f>
        <v>45691</v>
      </c>
      <c r="L16">
        <f>IF(Data_Model[[#This Row],[Submission_Date]]="",0,1)</f>
        <v>0</v>
      </c>
      <c r="M16">
        <f>IF(Data_Model[[#This Row],[Interview_Date]]="",0,1)</f>
        <v>0</v>
      </c>
      <c r="N16">
        <f>IF(Data_Model[[#This Row],[Hire_Date]]="",0,1)</f>
        <v>1</v>
      </c>
      <c r="O16" t="str">
        <f>IF(OR(Data_Model[ [#This Row],[Submission_Date] ]= "",Data_Model[[#This Row],[Resume_Date]] = "",Data_Model[[#This Row],[Submission_Date]] &lt; Data_Model[[#This Row],[Resume_Date]]), "",Data_Model[[#This Row],[Submission_Date]] - Data_Model[[#This Row],[Resume_Date]])</f>
        <v/>
      </c>
      <c r="P16" t="str">
        <f>IF(OR(Data_Model[[#This Row],[Submission_Date]]="",Data_Model[[#This Row],[Interview_Date]]="",Data_Model[[#This Row],[Interview_Date]] &lt; Data_Model[[#This Row],[Submission_Date]]),"",Data_Model[[#This Row],[Interview_Date]]-Data_Model[[#This Row],[Submission_Date]])</f>
        <v/>
      </c>
      <c r="Q16" s="4" t="str">
        <f>IF(OR(Data_Model[[#This Row],[Submission_Date]]="",Data_Model[[#This Row],[Hire_Date]]="",Data_Model[[#This Row],[Hire_Date]] &lt; Data_Model[[#This Row],[Submission_Date]]),"",Data_Model[[#This Row],[Hire_Date]]-Data_Model[[#This Row],[Submission_Date]])</f>
        <v/>
      </c>
      <c r="R16" s="4">
        <f>IF(AND(Data_Model[[#This Row],[Submission_Flag]]=1,Data_Model[[#This Row],[Hire_Flag]]=1,Data_Model[[#This Row],[Hire_Date]]&lt;Data_Model[[#This Row],[Submission_Date]]),1,0)</f>
        <v>0</v>
      </c>
    </row>
    <row r="17" spans="1:18" x14ac:dyDescent="0.25">
      <c r="A17" t="s">
        <v>66</v>
      </c>
      <c r="B17" t="s">
        <v>6</v>
      </c>
      <c r="C17" t="s">
        <v>45</v>
      </c>
      <c r="D17" t="s">
        <v>50</v>
      </c>
      <c r="E17" s="2">
        <v>45666</v>
      </c>
      <c r="F17" t="s">
        <v>40</v>
      </c>
      <c r="G17">
        <v>6</v>
      </c>
      <c r="H17" t="s">
        <v>57</v>
      </c>
      <c r="I1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45683</v>
      </c>
      <c r="J1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45672</v>
      </c>
      <c r="K17" s="2" t="str">
        <f>IFERROR(IF(_xlfn.MINIFS(tblActivities[Activity_Date],tblActivities[Activity_Type],"Hired",tblActivities[Candidate_ID],Data_Model[[#This Row],[Candidate_ID]])=0,"",_xlfn.MINIFS(tblActivities[Activity_Date],tblActivities[Activity_Type],"Hired",tblActivities[Candidate_ID],Data_Model[[#This Row],[Candidate_ID]])),"")</f>
        <v/>
      </c>
      <c r="L17">
        <f>IF(Data_Model[[#This Row],[Submission_Date]]="",0,1)</f>
        <v>1</v>
      </c>
      <c r="M17">
        <f>IF(Data_Model[[#This Row],[Interview_Date]]="",0,1)</f>
        <v>1</v>
      </c>
      <c r="N17">
        <f>IF(Data_Model[[#This Row],[Hire_Date]]="",0,1)</f>
        <v>0</v>
      </c>
      <c r="O17">
        <f>IF(OR(Data_Model[ [#This Row],[Submission_Date] ]= "",Data_Model[[#This Row],[Resume_Date]] = "",Data_Model[[#This Row],[Submission_Date]] &lt; Data_Model[[#This Row],[Resume_Date]]), "",Data_Model[[#This Row],[Submission_Date]] - Data_Model[[#This Row],[Resume_Date]])</f>
        <v>17</v>
      </c>
      <c r="P17" t="str">
        <f>IF(OR(Data_Model[[#This Row],[Submission_Date]]="",Data_Model[[#This Row],[Interview_Date]]="",Data_Model[[#This Row],[Interview_Date]] &lt; Data_Model[[#This Row],[Submission_Date]]),"",Data_Model[[#This Row],[Interview_Date]]-Data_Model[[#This Row],[Submission_Date]])</f>
        <v/>
      </c>
      <c r="Q17" s="4" t="str">
        <f>IF(OR(Data_Model[[#This Row],[Submission_Date]]="",Data_Model[[#This Row],[Hire_Date]]="",Data_Model[[#This Row],[Hire_Date]] &lt; Data_Model[[#This Row],[Submission_Date]]),"",Data_Model[[#This Row],[Hire_Date]]-Data_Model[[#This Row],[Submission_Date]])</f>
        <v/>
      </c>
      <c r="R17" s="4">
        <f>IF(AND(Data_Model[[#This Row],[Submission_Flag]]=1,Data_Model[[#This Row],[Hire_Flag]]=1,Data_Model[[#This Row],[Hire_Date]]&lt;Data_Model[[#This Row],[Submission_Date]]),1,0)</f>
        <v>0</v>
      </c>
    </row>
    <row r="18" spans="1:18" x14ac:dyDescent="0.25">
      <c r="A18" t="s">
        <v>67</v>
      </c>
      <c r="B18" t="s">
        <v>23</v>
      </c>
      <c r="C18" t="s">
        <v>38</v>
      </c>
      <c r="D18" t="s">
        <v>42</v>
      </c>
      <c r="E18" s="2">
        <v>45676</v>
      </c>
      <c r="F18" t="s">
        <v>43</v>
      </c>
      <c r="G18">
        <v>2</v>
      </c>
      <c r="H18" t="s">
        <v>47</v>
      </c>
      <c r="I18"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45662</v>
      </c>
      <c r="J1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8" s="2" t="str">
        <f>IFERROR(IF(_xlfn.MINIFS(tblActivities[Activity_Date],tblActivities[Activity_Type],"Hired",tblActivities[Candidate_ID],Data_Model[[#This Row],[Candidate_ID]])=0,"",_xlfn.MINIFS(tblActivities[Activity_Date],tblActivities[Activity_Type],"Hired",tblActivities[Candidate_ID],Data_Model[[#This Row],[Candidate_ID]])),"")</f>
        <v/>
      </c>
      <c r="L18">
        <f>IF(Data_Model[[#This Row],[Submission_Date]]="",0,1)</f>
        <v>1</v>
      </c>
      <c r="M18">
        <f>IF(Data_Model[[#This Row],[Interview_Date]]="",0,1)</f>
        <v>0</v>
      </c>
      <c r="N18">
        <f>IF(Data_Model[[#This Row],[Hire_Date]]="",0,1)</f>
        <v>0</v>
      </c>
      <c r="O18" t="str">
        <f>IF(OR(Data_Model[ [#This Row],[Submission_Date] ]= "",Data_Model[[#This Row],[Resume_Date]] = "",Data_Model[[#This Row],[Submission_Date]] &lt; Data_Model[[#This Row],[Resume_Date]]), "",Data_Model[[#This Row],[Submission_Date]] - Data_Model[[#This Row],[Resume_Date]])</f>
        <v/>
      </c>
      <c r="P18" t="str">
        <f>IF(OR(Data_Model[[#This Row],[Submission_Date]]="",Data_Model[[#This Row],[Interview_Date]]="",Data_Model[[#This Row],[Interview_Date]] &lt; Data_Model[[#This Row],[Submission_Date]]),"",Data_Model[[#This Row],[Interview_Date]]-Data_Model[[#This Row],[Submission_Date]])</f>
        <v/>
      </c>
      <c r="Q18" s="4" t="str">
        <f>IF(OR(Data_Model[[#This Row],[Submission_Date]]="",Data_Model[[#This Row],[Hire_Date]]="",Data_Model[[#This Row],[Hire_Date]] &lt; Data_Model[[#This Row],[Submission_Date]]),"",Data_Model[[#This Row],[Hire_Date]]-Data_Model[[#This Row],[Submission_Date]])</f>
        <v/>
      </c>
      <c r="R18" s="4">
        <f>IF(AND(Data_Model[[#This Row],[Submission_Flag]]=1,Data_Model[[#This Row],[Hire_Flag]]=1,Data_Model[[#This Row],[Hire_Date]]&lt;Data_Model[[#This Row],[Submission_Date]]),1,0)</f>
        <v>0</v>
      </c>
    </row>
    <row r="19" spans="1:18" x14ac:dyDescent="0.25">
      <c r="A19" t="s">
        <v>68</v>
      </c>
      <c r="B19" t="s">
        <v>19</v>
      </c>
      <c r="C19" t="s">
        <v>33</v>
      </c>
      <c r="D19" t="s">
        <v>39</v>
      </c>
      <c r="E19" s="2">
        <v>45663</v>
      </c>
      <c r="F19" t="s">
        <v>62</v>
      </c>
      <c r="G19">
        <v>5</v>
      </c>
      <c r="H19" t="s">
        <v>36</v>
      </c>
      <c r="I1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45672</v>
      </c>
      <c r="J1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9" s="2">
        <f>IFERROR(IF(_xlfn.MINIFS(tblActivities[Activity_Date],tblActivities[Activity_Type],"Hired",tblActivities[Candidate_ID],Data_Model[[#This Row],[Candidate_ID]])=0,"",_xlfn.MINIFS(tblActivities[Activity_Date],tblActivities[Activity_Type],"Hired",tblActivities[Candidate_ID],Data_Model[[#This Row],[Candidate_ID]])),"")</f>
        <v>45672</v>
      </c>
      <c r="L19">
        <f>IF(Data_Model[[#This Row],[Submission_Date]]="",0,1)</f>
        <v>1</v>
      </c>
      <c r="M19">
        <f>IF(Data_Model[[#This Row],[Interview_Date]]="",0,1)</f>
        <v>0</v>
      </c>
      <c r="N19">
        <f>IF(Data_Model[[#This Row],[Hire_Date]]="",0,1)</f>
        <v>1</v>
      </c>
      <c r="O19">
        <f>IF(OR(Data_Model[ [#This Row],[Submission_Date] ]= "",Data_Model[[#This Row],[Resume_Date]] = "",Data_Model[[#This Row],[Submission_Date]] &lt; Data_Model[[#This Row],[Resume_Date]]), "",Data_Model[[#This Row],[Submission_Date]] - Data_Model[[#This Row],[Resume_Date]])</f>
        <v>9</v>
      </c>
      <c r="P19" t="str">
        <f>IF(OR(Data_Model[[#This Row],[Submission_Date]]="",Data_Model[[#This Row],[Interview_Date]]="",Data_Model[[#This Row],[Interview_Date]] &lt; Data_Model[[#This Row],[Submission_Date]]),"",Data_Model[[#This Row],[Interview_Date]]-Data_Model[[#This Row],[Submission_Date]])</f>
        <v/>
      </c>
      <c r="Q19" s="4">
        <f>IF(OR(Data_Model[[#This Row],[Submission_Date]]="",Data_Model[[#This Row],[Hire_Date]]="",Data_Model[[#This Row],[Hire_Date]] &lt; Data_Model[[#This Row],[Submission_Date]]),"",Data_Model[[#This Row],[Hire_Date]]-Data_Model[[#This Row],[Submission_Date]])</f>
        <v>0</v>
      </c>
      <c r="R19" s="4">
        <f>IF(AND(Data_Model[[#This Row],[Submission_Flag]]=1,Data_Model[[#This Row],[Hire_Flag]]=1,Data_Model[[#This Row],[Hire_Date]]&lt;Data_Model[[#This Row],[Submission_Date]]),1,0)</f>
        <v>0</v>
      </c>
    </row>
    <row r="20" spans="1:18" x14ac:dyDescent="0.25">
      <c r="A20" t="s">
        <v>69</v>
      </c>
      <c r="B20" t="s">
        <v>22</v>
      </c>
      <c r="C20" t="s">
        <v>49</v>
      </c>
      <c r="D20" t="s">
        <v>50</v>
      </c>
      <c r="E20" s="2">
        <v>45659</v>
      </c>
      <c r="F20" t="s">
        <v>62</v>
      </c>
      <c r="G20">
        <v>2</v>
      </c>
      <c r="H20" t="s">
        <v>36</v>
      </c>
      <c r="I2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2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20" s="2">
        <f>IFERROR(IF(_xlfn.MINIFS(tblActivities[Activity_Date],tblActivities[Activity_Type],"Hired",tblActivities[Candidate_ID],Data_Model[[#This Row],[Candidate_ID]])=0,"",_xlfn.MINIFS(tblActivities[Activity_Date],tblActivities[Activity_Type],"Hired",tblActivities[Candidate_ID],Data_Model[[#This Row],[Candidate_ID]])),"")</f>
        <v>45684</v>
      </c>
      <c r="L20">
        <f>IF(Data_Model[[#This Row],[Submission_Date]]="",0,1)</f>
        <v>0</v>
      </c>
      <c r="M20">
        <f>IF(Data_Model[[#This Row],[Interview_Date]]="",0,1)</f>
        <v>0</v>
      </c>
      <c r="N20">
        <f>IF(Data_Model[[#This Row],[Hire_Date]]="",0,1)</f>
        <v>1</v>
      </c>
      <c r="O20" t="str">
        <f>IF(OR(Data_Model[ [#This Row],[Submission_Date] ]= "",Data_Model[[#This Row],[Resume_Date]] = "",Data_Model[[#This Row],[Submission_Date]] &lt; Data_Model[[#This Row],[Resume_Date]]), "",Data_Model[[#This Row],[Submission_Date]] - Data_Model[[#This Row],[Resume_Date]])</f>
        <v/>
      </c>
      <c r="P20" t="str">
        <f>IF(OR(Data_Model[[#This Row],[Submission_Date]]="",Data_Model[[#This Row],[Interview_Date]]="",Data_Model[[#This Row],[Interview_Date]] &lt; Data_Model[[#This Row],[Submission_Date]]),"",Data_Model[[#This Row],[Interview_Date]]-Data_Model[[#This Row],[Submission_Date]])</f>
        <v/>
      </c>
      <c r="Q20" s="4" t="str">
        <f>IF(OR(Data_Model[[#This Row],[Submission_Date]]="",Data_Model[[#This Row],[Hire_Date]]="",Data_Model[[#This Row],[Hire_Date]] &lt; Data_Model[[#This Row],[Submission_Date]]),"",Data_Model[[#This Row],[Hire_Date]]-Data_Model[[#This Row],[Submission_Date]])</f>
        <v/>
      </c>
      <c r="R20" s="4">
        <f>IF(AND(Data_Model[[#This Row],[Submission_Flag]]=1,Data_Model[[#This Row],[Hire_Flag]]=1,Data_Model[[#This Row],[Hire_Date]]&lt;Data_Model[[#This Row],[Submission_Date]]),1,0)</f>
        <v>0</v>
      </c>
    </row>
    <row r="21" spans="1:18" x14ac:dyDescent="0.25">
      <c r="A21" t="s">
        <v>70</v>
      </c>
      <c r="B21" t="s">
        <v>20</v>
      </c>
      <c r="C21" t="s">
        <v>49</v>
      </c>
      <c r="D21" t="s">
        <v>52</v>
      </c>
      <c r="E21" s="2">
        <v>45669</v>
      </c>
      <c r="F21" t="s">
        <v>43</v>
      </c>
      <c r="G21">
        <v>4</v>
      </c>
      <c r="H21" t="s">
        <v>36</v>
      </c>
      <c r="I2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45685</v>
      </c>
      <c r="J2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45679</v>
      </c>
      <c r="K21" s="2" t="str">
        <f>IFERROR(IF(_xlfn.MINIFS(tblActivities[Activity_Date],tblActivities[Activity_Type],"Hired",tblActivities[Candidate_ID],Data_Model[[#This Row],[Candidate_ID]])=0,"",_xlfn.MINIFS(tblActivities[Activity_Date],tblActivities[Activity_Type],"Hired",tblActivities[Candidate_ID],Data_Model[[#This Row],[Candidate_ID]])),"")</f>
        <v/>
      </c>
      <c r="L21">
        <f>IF(Data_Model[[#This Row],[Submission_Date]]="",0,1)</f>
        <v>1</v>
      </c>
      <c r="M21">
        <f>IF(Data_Model[[#This Row],[Interview_Date]]="",0,1)</f>
        <v>1</v>
      </c>
      <c r="N21">
        <f>IF(Data_Model[[#This Row],[Hire_Date]]="",0,1)</f>
        <v>0</v>
      </c>
      <c r="O21">
        <f>IF(OR(Data_Model[ [#This Row],[Submission_Date] ]= "",Data_Model[[#This Row],[Resume_Date]] = "",Data_Model[[#This Row],[Submission_Date]] &lt; Data_Model[[#This Row],[Resume_Date]]), "",Data_Model[[#This Row],[Submission_Date]] - Data_Model[[#This Row],[Resume_Date]])</f>
        <v>16</v>
      </c>
      <c r="P21" t="str">
        <f>IF(OR(Data_Model[[#This Row],[Submission_Date]]="",Data_Model[[#This Row],[Interview_Date]]="",Data_Model[[#This Row],[Interview_Date]] &lt; Data_Model[[#This Row],[Submission_Date]]),"",Data_Model[[#This Row],[Interview_Date]]-Data_Model[[#This Row],[Submission_Date]])</f>
        <v/>
      </c>
      <c r="Q21" s="4" t="str">
        <f>IF(OR(Data_Model[[#This Row],[Submission_Date]]="",Data_Model[[#This Row],[Hire_Date]]="",Data_Model[[#This Row],[Hire_Date]] &lt; Data_Model[[#This Row],[Submission_Date]]),"",Data_Model[[#This Row],[Hire_Date]]-Data_Model[[#This Row],[Submission_Date]])</f>
        <v/>
      </c>
      <c r="R21" s="4">
        <f>IF(AND(Data_Model[[#This Row],[Submission_Flag]]=1,Data_Model[[#This Row],[Hire_Flag]]=1,Data_Model[[#This Row],[Hire_Date]]&lt;Data_Model[[#This Row],[Submission_Date]]),1,0)</f>
        <v>0</v>
      </c>
    </row>
    <row r="22" spans="1:18" x14ac:dyDescent="0.25">
      <c r="A22" t="s">
        <v>71</v>
      </c>
      <c r="B22" t="s">
        <v>23</v>
      </c>
      <c r="C22" t="s">
        <v>33</v>
      </c>
      <c r="D22" t="s">
        <v>34</v>
      </c>
      <c r="E22" s="2">
        <v>45668</v>
      </c>
      <c r="F22" t="s">
        <v>43</v>
      </c>
      <c r="G22">
        <v>5</v>
      </c>
      <c r="H22" t="s">
        <v>57</v>
      </c>
      <c r="I2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2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45680</v>
      </c>
      <c r="K22" s="2" t="str">
        <f>IFERROR(IF(_xlfn.MINIFS(tblActivities[Activity_Date],tblActivities[Activity_Type],"Hired",tblActivities[Candidate_ID],Data_Model[[#This Row],[Candidate_ID]])=0,"",_xlfn.MINIFS(tblActivities[Activity_Date],tblActivities[Activity_Type],"Hired",tblActivities[Candidate_ID],Data_Model[[#This Row],[Candidate_ID]])),"")</f>
        <v/>
      </c>
      <c r="L22">
        <f>IF(Data_Model[[#This Row],[Submission_Date]]="",0,1)</f>
        <v>0</v>
      </c>
      <c r="M22">
        <f>IF(Data_Model[[#This Row],[Interview_Date]]="",0,1)</f>
        <v>1</v>
      </c>
      <c r="N22">
        <f>IF(Data_Model[[#This Row],[Hire_Date]]="",0,1)</f>
        <v>0</v>
      </c>
      <c r="O22" t="str">
        <f>IF(OR(Data_Model[ [#This Row],[Submission_Date] ]= "",Data_Model[[#This Row],[Resume_Date]] = "",Data_Model[[#This Row],[Submission_Date]] &lt; Data_Model[[#This Row],[Resume_Date]]), "",Data_Model[[#This Row],[Submission_Date]] - Data_Model[[#This Row],[Resume_Date]])</f>
        <v/>
      </c>
      <c r="P22" t="str">
        <f>IF(OR(Data_Model[[#This Row],[Submission_Date]]="",Data_Model[[#This Row],[Interview_Date]]="",Data_Model[[#This Row],[Interview_Date]] &lt; Data_Model[[#This Row],[Submission_Date]]),"",Data_Model[[#This Row],[Interview_Date]]-Data_Model[[#This Row],[Submission_Date]])</f>
        <v/>
      </c>
      <c r="Q22" s="4" t="str">
        <f>IF(OR(Data_Model[[#This Row],[Submission_Date]]="",Data_Model[[#This Row],[Hire_Date]]="",Data_Model[[#This Row],[Hire_Date]] &lt; Data_Model[[#This Row],[Submission_Date]]),"",Data_Model[[#This Row],[Hire_Date]]-Data_Model[[#This Row],[Submission_Date]])</f>
        <v/>
      </c>
      <c r="R22" s="4">
        <f>IF(AND(Data_Model[[#This Row],[Submission_Flag]]=1,Data_Model[[#This Row],[Hire_Flag]]=1,Data_Model[[#This Row],[Hire_Date]]&lt;Data_Model[[#This Row],[Submission_Date]]),1,0)</f>
        <v>0</v>
      </c>
    </row>
    <row r="23" spans="1:18" x14ac:dyDescent="0.25">
      <c r="A23" t="s">
        <v>72</v>
      </c>
      <c r="B23" t="s">
        <v>16</v>
      </c>
      <c r="C23" t="s">
        <v>45</v>
      </c>
      <c r="D23" t="s">
        <v>42</v>
      </c>
      <c r="E23" s="2">
        <v>45658</v>
      </c>
      <c r="F23" t="s">
        <v>40</v>
      </c>
      <c r="G23">
        <v>7</v>
      </c>
      <c r="H23" t="s">
        <v>60</v>
      </c>
      <c r="I2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2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23" s="2" t="str">
        <f>IFERROR(IF(_xlfn.MINIFS(tblActivities[Activity_Date],tblActivities[Activity_Type],"Hired",tblActivities[Candidate_ID],Data_Model[[#This Row],[Candidate_ID]])=0,"",_xlfn.MINIFS(tblActivities[Activity_Date],tblActivities[Activity_Type],"Hired",tblActivities[Candidate_ID],Data_Model[[#This Row],[Candidate_ID]])),"")</f>
        <v/>
      </c>
      <c r="L23">
        <f>IF(Data_Model[[#This Row],[Submission_Date]]="",0,1)</f>
        <v>0</v>
      </c>
      <c r="M23">
        <f>IF(Data_Model[[#This Row],[Interview_Date]]="",0,1)</f>
        <v>0</v>
      </c>
      <c r="N23">
        <f>IF(Data_Model[[#This Row],[Hire_Date]]="",0,1)</f>
        <v>0</v>
      </c>
      <c r="O23" t="str">
        <f>IF(OR(Data_Model[ [#This Row],[Submission_Date] ]= "",Data_Model[[#This Row],[Resume_Date]] = "",Data_Model[[#This Row],[Submission_Date]] &lt; Data_Model[[#This Row],[Resume_Date]]), "",Data_Model[[#This Row],[Submission_Date]] - Data_Model[[#This Row],[Resume_Date]])</f>
        <v/>
      </c>
      <c r="P23" t="str">
        <f>IF(OR(Data_Model[[#This Row],[Submission_Date]]="",Data_Model[[#This Row],[Interview_Date]]="",Data_Model[[#This Row],[Interview_Date]] &lt; Data_Model[[#This Row],[Submission_Date]]),"",Data_Model[[#This Row],[Interview_Date]]-Data_Model[[#This Row],[Submission_Date]])</f>
        <v/>
      </c>
      <c r="Q23" s="4" t="str">
        <f>IF(OR(Data_Model[[#This Row],[Submission_Date]]="",Data_Model[[#This Row],[Hire_Date]]="",Data_Model[[#This Row],[Hire_Date]] &lt; Data_Model[[#This Row],[Submission_Date]]),"",Data_Model[[#This Row],[Hire_Date]]-Data_Model[[#This Row],[Submission_Date]])</f>
        <v/>
      </c>
      <c r="R23" s="4">
        <f>IF(AND(Data_Model[[#This Row],[Submission_Flag]]=1,Data_Model[[#This Row],[Hire_Flag]]=1,Data_Model[[#This Row],[Hire_Date]]&lt;Data_Model[[#This Row],[Submission_Date]]),1,0)</f>
        <v>0</v>
      </c>
    </row>
    <row r="24" spans="1:18" x14ac:dyDescent="0.25">
      <c r="A24" t="s">
        <v>73</v>
      </c>
      <c r="B24" t="s">
        <v>20</v>
      </c>
      <c r="C24" t="s">
        <v>33</v>
      </c>
      <c r="D24" t="s">
        <v>52</v>
      </c>
      <c r="E24" s="2">
        <v>45673</v>
      </c>
      <c r="F24" t="s">
        <v>35</v>
      </c>
      <c r="G24">
        <v>5</v>
      </c>
      <c r="H24" t="s">
        <v>60</v>
      </c>
      <c r="I2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2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45668</v>
      </c>
      <c r="K24" s="2" t="str">
        <f>IFERROR(IF(_xlfn.MINIFS(tblActivities[Activity_Date],tblActivities[Activity_Type],"Hired",tblActivities[Candidate_ID],Data_Model[[#This Row],[Candidate_ID]])=0,"",_xlfn.MINIFS(tblActivities[Activity_Date],tblActivities[Activity_Type],"Hired",tblActivities[Candidate_ID],Data_Model[[#This Row],[Candidate_ID]])),"")</f>
        <v/>
      </c>
      <c r="L24">
        <f>IF(Data_Model[[#This Row],[Submission_Date]]="",0,1)</f>
        <v>0</v>
      </c>
      <c r="M24">
        <f>IF(Data_Model[[#This Row],[Interview_Date]]="",0,1)</f>
        <v>1</v>
      </c>
      <c r="N24">
        <f>IF(Data_Model[[#This Row],[Hire_Date]]="",0,1)</f>
        <v>0</v>
      </c>
      <c r="O24" t="str">
        <f>IF(OR(Data_Model[ [#This Row],[Submission_Date] ]= "",Data_Model[[#This Row],[Resume_Date]] = "",Data_Model[[#This Row],[Submission_Date]] &lt; Data_Model[[#This Row],[Resume_Date]]), "",Data_Model[[#This Row],[Submission_Date]] - Data_Model[[#This Row],[Resume_Date]])</f>
        <v/>
      </c>
      <c r="P24" t="str">
        <f>IF(OR(Data_Model[[#This Row],[Submission_Date]]="",Data_Model[[#This Row],[Interview_Date]]="",Data_Model[[#This Row],[Interview_Date]] &lt; Data_Model[[#This Row],[Submission_Date]]),"",Data_Model[[#This Row],[Interview_Date]]-Data_Model[[#This Row],[Submission_Date]])</f>
        <v/>
      </c>
      <c r="Q24" s="4" t="str">
        <f>IF(OR(Data_Model[[#This Row],[Submission_Date]]="",Data_Model[[#This Row],[Hire_Date]]="",Data_Model[[#This Row],[Hire_Date]] &lt; Data_Model[[#This Row],[Submission_Date]]),"",Data_Model[[#This Row],[Hire_Date]]-Data_Model[[#This Row],[Submission_Date]])</f>
        <v/>
      </c>
      <c r="R24" s="4">
        <f>IF(AND(Data_Model[[#This Row],[Submission_Flag]]=1,Data_Model[[#This Row],[Hire_Flag]]=1,Data_Model[[#This Row],[Hire_Date]]&lt;Data_Model[[#This Row],[Submission_Date]]),1,0)</f>
        <v>0</v>
      </c>
    </row>
    <row r="25" spans="1:18" x14ac:dyDescent="0.25">
      <c r="A25" t="s">
        <v>74</v>
      </c>
      <c r="B25" t="s">
        <v>24</v>
      </c>
      <c r="C25" t="s">
        <v>33</v>
      </c>
      <c r="D25" t="s">
        <v>39</v>
      </c>
      <c r="E25" s="2">
        <v>45666</v>
      </c>
      <c r="F25" t="s">
        <v>43</v>
      </c>
      <c r="G25">
        <v>3</v>
      </c>
      <c r="H25" t="s">
        <v>47</v>
      </c>
      <c r="I2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2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45681</v>
      </c>
      <c r="K25" s="2">
        <f>IFERROR(IF(_xlfn.MINIFS(tblActivities[Activity_Date],tblActivities[Activity_Type],"Hired",tblActivities[Candidate_ID],Data_Model[[#This Row],[Candidate_ID]])=0,"",_xlfn.MINIFS(tblActivities[Activity_Date],tblActivities[Activity_Type],"Hired",tblActivities[Candidate_ID],Data_Model[[#This Row],[Candidate_ID]])),"")</f>
        <v>45678</v>
      </c>
      <c r="L25">
        <f>IF(Data_Model[[#This Row],[Submission_Date]]="",0,1)</f>
        <v>1</v>
      </c>
      <c r="M25">
        <f>IF(Data_Model[[#This Row],[Interview_Date]]="",0,1)</f>
        <v>1</v>
      </c>
      <c r="N25">
        <f>IF(Data_Model[[#This Row],[Hire_Date]]="",0,1)</f>
        <v>1</v>
      </c>
      <c r="O25">
        <f>IF(OR(Data_Model[ [#This Row],[Submission_Date] ]= "",Data_Model[[#This Row],[Resume_Date]] = "",Data_Model[[#This Row],[Submission_Date]] &lt; Data_Model[[#This Row],[Resume_Date]]), "",Data_Model[[#This Row],[Submission_Date]] - Data_Model[[#This Row],[Resume_Date]])</f>
        <v>11</v>
      </c>
      <c r="P25">
        <f>IF(OR(Data_Model[[#This Row],[Submission_Date]]="",Data_Model[[#This Row],[Interview_Date]]="",Data_Model[[#This Row],[Interview_Date]] &lt; Data_Model[[#This Row],[Submission_Date]]),"",Data_Model[[#This Row],[Interview_Date]]-Data_Model[[#This Row],[Submission_Date]])</f>
        <v>4</v>
      </c>
      <c r="Q25" s="4">
        <f>IF(OR(Data_Model[[#This Row],[Submission_Date]]="",Data_Model[[#This Row],[Hire_Date]]="",Data_Model[[#This Row],[Hire_Date]] &lt; Data_Model[[#This Row],[Submission_Date]]),"",Data_Model[[#This Row],[Hire_Date]]-Data_Model[[#This Row],[Submission_Date]])</f>
        <v>1</v>
      </c>
      <c r="R25" s="4">
        <f>IF(AND(Data_Model[[#This Row],[Submission_Flag]]=1,Data_Model[[#This Row],[Hire_Flag]]=1,Data_Model[[#This Row],[Hire_Date]]&lt;Data_Model[[#This Row],[Submission_Date]]),1,0)</f>
        <v>0</v>
      </c>
    </row>
    <row r="26" spans="1:18" x14ac:dyDescent="0.25">
      <c r="A26" t="s">
        <v>75</v>
      </c>
      <c r="B26" t="s">
        <v>17</v>
      </c>
      <c r="C26" t="s">
        <v>45</v>
      </c>
      <c r="D26" t="s">
        <v>42</v>
      </c>
      <c r="E26" s="2">
        <v>45674</v>
      </c>
      <c r="F26" t="s">
        <v>62</v>
      </c>
      <c r="G26">
        <v>3</v>
      </c>
      <c r="H26" t="s">
        <v>47</v>
      </c>
      <c r="I2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2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26" s="2">
        <f>IFERROR(IF(_xlfn.MINIFS(tblActivities[Activity_Date],tblActivities[Activity_Type],"Hired",tblActivities[Candidate_ID],Data_Model[[#This Row],[Candidate_ID]])=0,"",_xlfn.MINIFS(tblActivities[Activity_Date],tblActivities[Activity_Type],"Hired",tblActivities[Candidate_ID],Data_Model[[#This Row],[Candidate_ID]])),"")</f>
        <v>45684</v>
      </c>
      <c r="L26">
        <f>IF(Data_Model[[#This Row],[Submission_Date]]="",0,1)</f>
        <v>1</v>
      </c>
      <c r="M26">
        <f>IF(Data_Model[[#This Row],[Interview_Date]]="",0,1)</f>
        <v>0</v>
      </c>
      <c r="N26">
        <f>IF(Data_Model[[#This Row],[Hire_Date]]="",0,1)</f>
        <v>1</v>
      </c>
      <c r="O26">
        <f>IF(OR(Data_Model[ [#This Row],[Submission_Date] ]= "",Data_Model[[#This Row],[Resume_Date]] = "",Data_Model[[#This Row],[Submission_Date]] &lt; Data_Model[[#This Row],[Resume_Date]]), "",Data_Model[[#This Row],[Submission_Date]] - Data_Model[[#This Row],[Resume_Date]])</f>
        <v>6</v>
      </c>
      <c r="P26" t="str">
        <f>IF(OR(Data_Model[[#This Row],[Submission_Date]]="",Data_Model[[#This Row],[Interview_Date]]="",Data_Model[[#This Row],[Interview_Date]] &lt; Data_Model[[#This Row],[Submission_Date]]),"",Data_Model[[#This Row],[Interview_Date]]-Data_Model[[#This Row],[Submission_Date]])</f>
        <v/>
      </c>
      <c r="Q26" s="4">
        <f>IF(OR(Data_Model[[#This Row],[Submission_Date]]="",Data_Model[[#This Row],[Hire_Date]]="",Data_Model[[#This Row],[Hire_Date]] &lt; Data_Model[[#This Row],[Submission_Date]]),"",Data_Model[[#This Row],[Hire_Date]]-Data_Model[[#This Row],[Submission_Date]])</f>
        <v>4</v>
      </c>
      <c r="R26" s="4">
        <f>IF(AND(Data_Model[[#This Row],[Submission_Flag]]=1,Data_Model[[#This Row],[Hire_Flag]]=1,Data_Model[[#This Row],[Hire_Date]]&lt;Data_Model[[#This Row],[Submission_Date]]),1,0)</f>
        <v>0</v>
      </c>
    </row>
    <row r="27" spans="1:18" x14ac:dyDescent="0.25">
      <c r="A27" t="s">
        <v>76</v>
      </c>
      <c r="B27" t="s">
        <v>6</v>
      </c>
      <c r="C27" t="s">
        <v>45</v>
      </c>
      <c r="D27" t="s">
        <v>52</v>
      </c>
      <c r="E27" s="2">
        <v>45659</v>
      </c>
      <c r="F27" t="s">
        <v>43</v>
      </c>
      <c r="G27">
        <v>3</v>
      </c>
      <c r="H27" t="s">
        <v>60</v>
      </c>
      <c r="I2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45671</v>
      </c>
      <c r="J2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27" s="2">
        <f>IFERROR(IF(_xlfn.MINIFS(tblActivities[Activity_Date],tblActivities[Activity_Type],"Hired",tblActivities[Candidate_ID],Data_Model[[#This Row],[Candidate_ID]])=0,"",_xlfn.MINIFS(tblActivities[Activity_Date],tblActivities[Activity_Type],"Hired",tblActivities[Candidate_ID],Data_Model[[#This Row],[Candidate_ID]])),"")</f>
        <v>45666</v>
      </c>
      <c r="L27">
        <f>IF(Data_Model[[#This Row],[Submission_Date]]="",0,1)</f>
        <v>1</v>
      </c>
      <c r="M27">
        <f>IF(Data_Model[[#This Row],[Interview_Date]]="",0,1)</f>
        <v>0</v>
      </c>
      <c r="N27">
        <f>IF(Data_Model[[#This Row],[Hire_Date]]="",0,1)</f>
        <v>1</v>
      </c>
      <c r="O27">
        <f>IF(OR(Data_Model[ [#This Row],[Submission_Date] ]= "",Data_Model[[#This Row],[Resume_Date]] = "",Data_Model[[#This Row],[Submission_Date]] &lt; Data_Model[[#This Row],[Resume_Date]]), "",Data_Model[[#This Row],[Submission_Date]] - Data_Model[[#This Row],[Resume_Date]])</f>
        <v>12</v>
      </c>
      <c r="P27" t="str">
        <f>IF(OR(Data_Model[[#This Row],[Submission_Date]]="",Data_Model[[#This Row],[Interview_Date]]="",Data_Model[[#This Row],[Interview_Date]] &lt; Data_Model[[#This Row],[Submission_Date]]),"",Data_Model[[#This Row],[Interview_Date]]-Data_Model[[#This Row],[Submission_Date]])</f>
        <v/>
      </c>
      <c r="Q27" s="4" t="str">
        <f>IF(OR(Data_Model[[#This Row],[Submission_Date]]="",Data_Model[[#This Row],[Hire_Date]]="",Data_Model[[#This Row],[Hire_Date]] &lt; Data_Model[[#This Row],[Submission_Date]]),"",Data_Model[[#This Row],[Hire_Date]]-Data_Model[[#This Row],[Submission_Date]])</f>
        <v/>
      </c>
      <c r="R27" s="4">
        <f>IF(AND(Data_Model[[#This Row],[Submission_Flag]]=1,Data_Model[[#This Row],[Hire_Flag]]=1,Data_Model[[#This Row],[Hire_Date]]&lt;Data_Model[[#This Row],[Submission_Date]]),1,0)</f>
        <v>1</v>
      </c>
    </row>
    <row r="28" spans="1:18" x14ac:dyDescent="0.25">
      <c r="A28" t="s">
        <v>77</v>
      </c>
      <c r="B28" t="s">
        <v>6</v>
      </c>
      <c r="C28" t="s">
        <v>38</v>
      </c>
      <c r="D28" t="s">
        <v>50</v>
      </c>
      <c r="E28" s="2">
        <v>45666</v>
      </c>
      <c r="F28" t="s">
        <v>46</v>
      </c>
      <c r="G28">
        <v>9</v>
      </c>
      <c r="H28" t="s">
        <v>47</v>
      </c>
      <c r="I2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2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28" s="2">
        <f>IFERROR(IF(_xlfn.MINIFS(tblActivities[Activity_Date],tblActivities[Activity_Type],"Hired",tblActivities[Candidate_ID],Data_Model[[#This Row],[Candidate_ID]])=0,"",_xlfn.MINIFS(tblActivities[Activity_Date],tblActivities[Activity_Type],"Hired",tblActivities[Candidate_ID],Data_Model[[#This Row],[Candidate_ID]])),"")</f>
        <v>45664</v>
      </c>
      <c r="L28">
        <f>IF(Data_Model[[#This Row],[Submission_Date]]="",0,1)</f>
        <v>0</v>
      </c>
      <c r="M28">
        <f>IF(Data_Model[[#This Row],[Interview_Date]]="",0,1)</f>
        <v>0</v>
      </c>
      <c r="N28">
        <f>IF(Data_Model[[#This Row],[Hire_Date]]="",0,1)</f>
        <v>1</v>
      </c>
      <c r="O28" t="str">
        <f>IF(OR(Data_Model[ [#This Row],[Submission_Date] ]= "",Data_Model[[#This Row],[Resume_Date]] = "",Data_Model[[#This Row],[Submission_Date]] &lt; Data_Model[[#This Row],[Resume_Date]]), "",Data_Model[[#This Row],[Submission_Date]] - Data_Model[[#This Row],[Resume_Date]])</f>
        <v/>
      </c>
      <c r="P28" t="str">
        <f>IF(OR(Data_Model[[#This Row],[Submission_Date]]="",Data_Model[[#This Row],[Interview_Date]]="",Data_Model[[#This Row],[Interview_Date]] &lt; Data_Model[[#This Row],[Submission_Date]]),"",Data_Model[[#This Row],[Interview_Date]]-Data_Model[[#This Row],[Submission_Date]])</f>
        <v/>
      </c>
      <c r="Q28" s="4" t="str">
        <f>IF(OR(Data_Model[[#This Row],[Submission_Date]]="",Data_Model[[#This Row],[Hire_Date]]="",Data_Model[[#This Row],[Hire_Date]] &lt; Data_Model[[#This Row],[Submission_Date]]),"",Data_Model[[#This Row],[Hire_Date]]-Data_Model[[#This Row],[Submission_Date]])</f>
        <v/>
      </c>
      <c r="R28" s="4">
        <f>IF(AND(Data_Model[[#This Row],[Submission_Flag]]=1,Data_Model[[#This Row],[Hire_Flag]]=1,Data_Model[[#This Row],[Hire_Date]]&lt;Data_Model[[#This Row],[Submission_Date]]),1,0)</f>
        <v>0</v>
      </c>
    </row>
    <row r="29" spans="1:18" x14ac:dyDescent="0.25">
      <c r="A29" t="s">
        <v>78</v>
      </c>
      <c r="B29" t="s">
        <v>20</v>
      </c>
      <c r="C29" t="s">
        <v>33</v>
      </c>
      <c r="D29" t="s">
        <v>34</v>
      </c>
      <c r="E29" s="2">
        <v>45660</v>
      </c>
      <c r="F29" t="s">
        <v>43</v>
      </c>
      <c r="G29">
        <v>10</v>
      </c>
      <c r="H29" t="s">
        <v>36</v>
      </c>
      <c r="I2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2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45672</v>
      </c>
      <c r="K29" s="2">
        <f>IFERROR(IF(_xlfn.MINIFS(tblActivities[Activity_Date],tblActivities[Activity_Type],"Hired",tblActivities[Candidate_ID],Data_Model[[#This Row],[Candidate_ID]])=0,"",_xlfn.MINIFS(tblActivities[Activity_Date],tblActivities[Activity_Type],"Hired",tblActivities[Candidate_ID],Data_Model[[#This Row],[Candidate_ID]])),"")</f>
        <v>45682</v>
      </c>
      <c r="L29">
        <f>IF(Data_Model[[#This Row],[Submission_Date]]="",0,1)</f>
        <v>0</v>
      </c>
      <c r="M29">
        <f>IF(Data_Model[[#This Row],[Interview_Date]]="",0,1)</f>
        <v>1</v>
      </c>
      <c r="N29">
        <f>IF(Data_Model[[#This Row],[Hire_Date]]="",0,1)</f>
        <v>1</v>
      </c>
      <c r="O29" t="str">
        <f>IF(OR(Data_Model[ [#This Row],[Submission_Date] ]= "",Data_Model[[#This Row],[Resume_Date]] = "",Data_Model[[#This Row],[Submission_Date]] &lt; Data_Model[[#This Row],[Resume_Date]]), "",Data_Model[[#This Row],[Submission_Date]] - Data_Model[[#This Row],[Resume_Date]])</f>
        <v/>
      </c>
      <c r="P29" t="str">
        <f>IF(OR(Data_Model[[#This Row],[Submission_Date]]="",Data_Model[[#This Row],[Interview_Date]]="",Data_Model[[#This Row],[Interview_Date]] &lt; Data_Model[[#This Row],[Submission_Date]]),"",Data_Model[[#This Row],[Interview_Date]]-Data_Model[[#This Row],[Submission_Date]])</f>
        <v/>
      </c>
      <c r="Q29" s="4" t="str">
        <f>IF(OR(Data_Model[[#This Row],[Submission_Date]]="",Data_Model[[#This Row],[Hire_Date]]="",Data_Model[[#This Row],[Hire_Date]] &lt; Data_Model[[#This Row],[Submission_Date]]),"",Data_Model[[#This Row],[Hire_Date]]-Data_Model[[#This Row],[Submission_Date]])</f>
        <v/>
      </c>
      <c r="R29" s="4">
        <f>IF(AND(Data_Model[[#This Row],[Submission_Flag]]=1,Data_Model[[#This Row],[Hire_Flag]]=1,Data_Model[[#This Row],[Hire_Date]]&lt;Data_Model[[#This Row],[Submission_Date]]),1,0)</f>
        <v>0</v>
      </c>
    </row>
    <row r="30" spans="1:18" x14ac:dyDescent="0.25">
      <c r="A30" t="s">
        <v>79</v>
      </c>
      <c r="B30" t="s">
        <v>16</v>
      </c>
      <c r="C30" t="s">
        <v>33</v>
      </c>
      <c r="D30" t="s">
        <v>39</v>
      </c>
      <c r="E30" s="2">
        <v>45662</v>
      </c>
      <c r="F30" t="s">
        <v>64</v>
      </c>
      <c r="G30">
        <v>1</v>
      </c>
      <c r="H30" t="s">
        <v>36</v>
      </c>
      <c r="I3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3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45668</v>
      </c>
      <c r="K30" s="2">
        <f>IFERROR(IF(_xlfn.MINIFS(tblActivities[Activity_Date],tblActivities[Activity_Type],"Hired",tblActivities[Candidate_ID],Data_Model[[#This Row],[Candidate_ID]])=0,"",_xlfn.MINIFS(tblActivities[Activity_Date],tblActivities[Activity_Type],"Hired",tblActivities[Candidate_ID],Data_Model[[#This Row],[Candidate_ID]])),"")</f>
        <v>45673</v>
      </c>
      <c r="L30">
        <f>IF(Data_Model[[#This Row],[Submission_Date]]="",0,1)</f>
        <v>1</v>
      </c>
      <c r="M30">
        <f>IF(Data_Model[[#This Row],[Interview_Date]]="",0,1)</f>
        <v>1</v>
      </c>
      <c r="N30">
        <f>IF(Data_Model[[#This Row],[Hire_Date]]="",0,1)</f>
        <v>1</v>
      </c>
      <c r="O30">
        <f>IF(OR(Data_Model[ [#This Row],[Submission_Date] ]= "",Data_Model[[#This Row],[Resume_Date]] = "",Data_Model[[#This Row],[Submission_Date]] &lt; Data_Model[[#This Row],[Resume_Date]]), "",Data_Model[[#This Row],[Submission_Date]] - Data_Model[[#This Row],[Resume_Date]])</f>
        <v>8</v>
      </c>
      <c r="P30" t="str">
        <f>IF(OR(Data_Model[[#This Row],[Submission_Date]]="",Data_Model[[#This Row],[Interview_Date]]="",Data_Model[[#This Row],[Interview_Date]] &lt; Data_Model[[#This Row],[Submission_Date]]),"",Data_Model[[#This Row],[Interview_Date]]-Data_Model[[#This Row],[Submission_Date]])</f>
        <v/>
      </c>
      <c r="Q30" s="4">
        <f>IF(OR(Data_Model[[#This Row],[Submission_Date]]="",Data_Model[[#This Row],[Hire_Date]]="",Data_Model[[#This Row],[Hire_Date]] &lt; Data_Model[[#This Row],[Submission_Date]]),"",Data_Model[[#This Row],[Hire_Date]]-Data_Model[[#This Row],[Submission_Date]])</f>
        <v>3</v>
      </c>
      <c r="R30" s="4">
        <f>IF(AND(Data_Model[[#This Row],[Submission_Flag]]=1,Data_Model[[#This Row],[Hire_Flag]]=1,Data_Model[[#This Row],[Hire_Date]]&lt;Data_Model[[#This Row],[Submission_Date]]),1,0)</f>
        <v>0</v>
      </c>
    </row>
    <row r="31" spans="1:18" x14ac:dyDescent="0.25">
      <c r="A31" t="s">
        <v>80</v>
      </c>
      <c r="B31" t="s">
        <v>20</v>
      </c>
      <c r="C31" t="s">
        <v>33</v>
      </c>
      <c r="D31" t="s">
        <v>39</v>
      </c>
      <c r="E31" s="2">
        <v>45659</v>
      </c>
      <c r="F31" t="s">
        <v>40</v>
      </c>
      <c r="G31">
        <v>9</v>
      </c>
      <c r="H31" t="s">
        <v>36</v>
      </c>
      <c r="I3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3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31" s="2">
        <f>IFERROR(IF(_xlfn.MINIFS(tblActivities[Activity_Date],tblActivities[Activity_Type],"Hired",tblActivities[Candidate_ID],Data_Model[[#This Row],[Candidate_ID]])=0,"",_xlfn.MINIFS(tblActivities[Activity_Date],tblActivities[Activity_Type],"Hired",tblActivities[Candidate_ID],Data_Model[[#This Row],[Candidate_ID]])),"")</f>
        <v>45671</v>
      </c>
      <c r="L31">
        <f>IF(Data_Model[[#This Row],[Submission_Date]]="",0,1)</f>
        <v>0</v>
      </c>
      <c r="M31">
        <f>IF(Data_Model[[#This Row],[Interview_Date]]="",0,1)</f>
        <v>0</v>
      </c>
      <c r="N31">
        <f>IF(Data_Model[[#This Row],[Hire_Date]]="",0,1)</f>
        <v>1</v>
      </c>
      <c r="O31" t="str">
        <f>IF(OR(Data_Model[ [#This Row],[Submission_Date] ]= "",Data_Model[[#This Row],[Resume_Date]] = "",Data_Model[[#This Row],[Submission_Date]] &lt; Data_Model[[#This Row],[Resume_Date]]), "",Data_Model[[#This Row],[Submission_Date]] - Data_Model[[#This Row],[Resume_Date]])</f>
        <v/>
      </c>
      <c r="P31" t="str">
        <f>IF(OR(Data_Model[[#This Row],[Submission_Date]]="",Data_Model[[#This Row],[Interview_Date]]="",Data_Model[[#This Row],[Interview_Date]] &lt; Data_Model[[#This Row],[Submission_Date]]),"",Data_Model[[#This Row],[Interview_Date]]-Data_Model[[#This Row],[Submission_Date]])</f>
        <v/>
      </c>
      <c r="Q31" s="4" t="str">
        <f>IF(OR(Data_Model[[#This Row],[Submission_Date]]="",Data_Model[[#This Row],[Hire_Date]]="",Data_Model[[#This Row],[Hire_Date]] &lt; Data_Model[[#This Row],[Submission_Date]]),"",Data_Model[[#This Row],[Hire_Date]]-Data_Model[[#This Row],[Submission_Date]])</f>
        <v/>
      </c>
      <c r="R31" s="4">
        <f>IF(AND(Data_Model[[#This Row],[Submission_Flag]]=1,Data_Model[[#This Row],[Hire_Flag]]=1,Data_Model[[#This Row],[Hire_Date]]&lt;Data_Model[[#This Row],[Submission_Date]]),1,0)</f>
        <v>0</v>
      </c>
    </row>
    <row r="32" spans="1:18" x14ac:dyDescent="0.25">
      <c r="A32" t="s">
        <v>81</v>
      </c>
      <c r="B32" t="s">
        <v>17</v>
      </c>
      <c r="C32" t="s">
        <v>38</v>
      </c>
      <c r="D32" t="s">
        <v>34</v>
      </c>
      <c r="E32" s="2">
        <v>45662</v>
      </c>
      <c r="F32" t="s">
        <v>64</v>
      </c>
      <c r="G32">
        <v>7</v>
      </c>
      <c r="H32" t="s">
        <v>47</v>
      </c>
      <c r="I3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3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32" s="2" t="str">
        <f>IFERROR(IF(_xlfn.MINIFS(tblActivities[Activity_Date],tblActivities[Activity_Type],"Hired",tblActivities[Candidate_ID],Data_Model[[#This Row],[Candidate_ID]])=0,"",_xlfn.MINIFS(tblActivities[Activity_Date],tblActivities[Activity_Type],"Hired",tblActivities[Candidate_ID],Data_Model[[#This Row],[Candidate_ID]])),"")</f>
        <v/>
      </c>
      <c r="L32">
        <f>IF(Data_Model[[#This Row],[Submission_Date]]="",0,1)</f>
        <v>0</v>
      </c>
      <c r="M32">
        <f>IF(Data_Model[[#This Row],[Interview_Date]]="",0,1)</f>
        <v>0</v>
      </c>
      <c r="N32">
        <f>IF(Data_Model[[#This Row],[Hire_Date]]="",0,1)</f>
        <v>0</v>
      </c>
      <c r="O32" t="str">
        <f>IF(OR(Data_Model[ [#This Row],[Submission_Date] ]= "",Data_Model[[#This Row],[Resume_Date]] = "",Data_Model[[#This Row],[Submission_Date]] &lt; Data_Model[[#This Row],[Resume_Date]]), "",Data_Model[[#This Row],[Submission_Date]] - Data_Model[[#This Row],[Resume_Date]])</f>
        <v/>
      </c>
      <c r="P32" t="str">
        <f>IF(OR(Data_Model[[#This Row],[Submission_Date]]="",Data_Model[[#This Row],[Interview_Date]]="",Data_Model[[#This Row],[Interview_Date]] &lt; Data_Model[[#This Row],[Submission_Date]]),"",Data_Model[[#This Row],[Interview_Date]]-Data_Model[[#This Row],[Submission_Date]])</f>
        <v/>
      </c>
      <c r="Q32" s="4" t="str">
        <f>IF(OR(Data_Model[[#This Row],[Submission_Date]]="",Data_Model[[#This Row],[Hire_Date]]="",Data_Model[[#This Row],[Hire_Date]] &lt; Data_Model[[#This Row],[Submission_Date]]),"",Data_Model[[#This Row],[Hire_Date]]-Data_Model[[#This Row],[Submission_Date]])</f>
        <v/>
      </c>
      <c r="R32" s="4">
        <f>IF(AND(Data_Model[[#This Row],[Submission_Flag]]=1,Data_Model[[#This Row],[Hire_Flag]]=1,Data_Model[[#This Row],[Hire_Date]]&lt;Data_Model[[#This Row],[Submission_Date]]),1,0)</f>
        <v>0</v>
      </c>
    </row>
    <row r="33" spans="1:18" x14ac:dyDescent="0.25">
      <c r="A33" t="s">
        <v>82</v>
      </c>
      <c r="B33" t="s">
        <v>20</v>
      </c>
      <c r="C33" t="s">
        <v>33</v>
      </c>
      <c r="D33" t="s">
        <v>50</v>
      </c>
      <c r="E33" s="2">
        <v>45659</v>
      </c>
      <c r="F33" t="s">
        <v>43</v>
      </c>
      <c r="G33">
        <v>1</v>
      </c>
      <c r="H33" t="s">
        <v>47</v>
      </c>
      <c r="I3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3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45662</v>
      </c>
      <c r="K33" s="2">
        <f>IFERROR(IF(_xlfn.MINIFS(tblActivities[Activity_Date],tblActivities[Activity_Type],"Hired",tblActivities[Candidate_ID],Data_Model[[#This Row],[Candidate_ID]])=0,"",_xlfn.MINIFS(tblActivities[Activity_Date],tblActivities[Activity_Type],"Hired",tblActivities[Candidate_ID],Data_Model[[#This Row],[Candidate_ID]])),"")</f>
        <v>45667</v>
      </c>
      <c r="L33">
        <f>IF(Data_Model[[#This Row],[Submission_Date]]="",0,1)</f>
        <v>0</v>
      </c>
      <c r="M33">
        <f>IF(Data_Model[[#This Row],[Interview_Date]]="",0,1)</f>
        <v>1</v>
      </c>
      <c r="N33">
        <f>IF(Data_Model[[#This Row],[Hire_Date]]="",0,1)</f>
        <v>1</v>
      </c>
      <c r="O33" t="str">
        <f>IF(OR(Data_Model[ [#This Row],[Submission_Date] ]= "",Data_Model[[#This Row],[Resume_Date]] = "",Data_Model[[#This Row],[Submission_Date]] &lt; Data_Model[[#This Row],[Resume_Date]]), "",Data_Model[[#This Row],[Submission_Date]] - Data_Model[[#This Row],[Resume_Date]])</f>
        <v/>
      </c>
      <c r="P33" t="str">
        <f>IF(OR(Data_Model[[#This Row],[Submission_Date]]="",Data_Model[[#This Row],[Interview_Date]]="",Data_Model[[#This Row],[Interview_Date]] &lt; Data_Model[[#This Row],[Submission_Date]]),"",Data_Model[[#This Row],[Interview_Date]]-Data_Model[[#This Row],[Submission_Date]])</f>
        <v/>
      </c>
      <c r="Q33" s="4" t="str">
        <f>IF(OR(Data_Model[[#This Row],[Submission_Date]]="",Data_Model[[#This Row],[Hire_Date]]="",Data_Model[[#This Row],[Hire_Date]] &lt; Data_Model[[#This Row],[Submission_Date]]),"",Data_Model[[#This Row],[Hire_Date]]-Data_Model[[#This Row],[Submission_Date]])</f>
        <v/>
      </c>
      <c r="R33" s="4">
        <f>IF(AND(Data_Model[[#This Row],[Submission_Flag]]=1,Data_Model[[#This Row],[Hire_Flag]]=1,Data_Model[[#This Row],[Hire_Date]]&lt;Data_Model[[#This Row],[Submission_Date]]),1,0)</f>
        <v>0</v>
      </c>
    </row>
    <row r="34" spans="1:18" x14ac:dyDescent="0.25">
      <c r="A34" t="s">
        <v>83</v>
      </c>
      <c r="B34" t="s">
        <v>10</v>
      </c>
      <c r="C34" t="s">
        <v>45</v>
      </c>
      <c r="D34" t="s">
        <v>42</v>
      </c>
      <c r="E34" s="2">
        <v>45665</v>
      </c>
      <c r="F34" t="s">
        <v>40</v>
      </c>
      <c r="G34">
        <v>3</v>
      </c>
      <c r="H34" t="s">
        <v>60</v>
      </c>
      <c r="I3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34"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34" s="2" t="str">
        <f>IFERROR(IF(_xlfn.MINIFS(tblActivities[Activity_Date],tblActivities[Activity_Type],"Hired",tblActivities[Candidate_ID],Data_Model[[#This Row],[Candidate_ID]])=0,"",_xlfn.MINIFS(tblActivities[Activity_Date],tblActivities[Activity_Type],"Hired",tblActivities[Candidate_ID],Data_Model[[#This Row],[Candidate_ID]])),"")</f>
        <v/>
      </c>
      <c r="L34">
        <f>IF(Data_Model[[#This Row],[Submission_Date]]="",0,1)</f>
        <v>0</v>
      </c>
      <c r="M34">
        <f>IF(Data_Model[[#This Row],[Interview_Date]]="",0,1)</f>
        <v>0</v>
      </c>
      <c r="N34">
        <f>IF(Data_Model[[#This Row],[Hire_Date]]="",0,1)</f>
        <v>0</v>
      </c>
      <c r="O34" t="str">
        <f>IF(OR(Data_Model[ [#This Row],[Submission_Date] ]= "",Data_Model[[#This Row],[Resume_Date]] = "",Data_Model[[#This Row],[Submission_Date]] &lt; Data_Model[[#This Row],[Resume_Date]]), "",Data_Model[[#This Row],[Submission_Date]] - Data_Model[[#This Row],[Resume_Date]])</f>
        <v/>
      </c>
      <c r="P34" t="str">
        <f>IF(OR(Data_Model[[#This Row],[Submission_Date]]="",Data_Model[[#This Row],[Interview_Date]]="",Data_Model[[#This Row],[Interview_Date]] &lt; Data_Model[[#This Row],[Submission_Date]]),"",Data_Model[[#This Row],[Interview_Date]]-Data_Model[[#This Row],[Submission_Date]])</f>
        <v/>
      </c>
      <c r="Q34" s="4" t="str">
        <f>IF(OR(Data_Model[[#This Row],[Submission_Date]]="",Data_Model[[#This Row],[Hire_Date]]="",Data_Model[[#This Row],[Hire_Date]] &lt; Data_Model[[#This Row],[Submission_Date]]),"",Data_Model[[#This Row],[Hire_Date]]-Data_Model[[#This Row],[Submission_Date]])</f>
        <v/>
      </c>
      <c r="R34" s="4">
        <f>IF(AND(Data_Model[[#This Row],[Submission_Flag]]=1,Data_Model[[#This Row],[Hire_Flag]]=1,Data_Model[[#This Row],[Hire_Date]]&lt;Data_Model[[#This Row],[Submission_Date]]),1,0)</f>
        <v>0</v>
      </c>
    </row>
    <row r="35" spans="1:18" x14ac:dyDescent="0.25">
      <c r="A35" t="s">
        <v>84</v>
      </c>
      <c r="B35" t="s">
        <v>6</v>
      </c>
      <c r="C35" t="s">
        <v>38</v>
      </c>
      <c r="D35" t="s">
        <v>39</v>
      </c>
      <c r="E35" s="2">
        <v>45669</v>
      </c>
      <c r="F35" t="s">
        <v>62</v>
      </c>
      <c r="G35">
        <v>4</v>
      </c>
      <c r="H35" t="s">
        <v>36</v>
      </c>
      <c r="I3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45673</v>
      </c>
      <c r="J3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35" s="2" t="str">
        <f>IFERROR(IF(_xlfn.MINIFS(tblActivities[Activity_Date],tblActivities[Activity_Type],"Hired",tblActivities[Candidate_ID],Data_Model[[#This Row],[Candidate_ID]])=0,"",_xlfn.MINIFS(tblActivities[Activity_Date],tblActivities[Activity_Type],"Hired",tblActivities[Candidate_ID],Data_Model[[#This Row],[Candidate_ID]])),"")</f>
        <v/>
      </c>
      <c r="L35">
        <f>IF(Data_Model[[#This Row],[Submission_Date]]="",0,1)</f>
        <v>1</v>
      </c>
      <c r="M35">
        <f>IF(Data_Model[[#This Row],[Interview_Date]]="",0,1)</f>
        <v>0</v>
      </c>
      <c r="N35">
        <f>IF(Data_Model[[#This Row],[Hire_Date]]="",0,1)</f>
        <v>0</v>
      </c>
      <c r="O35">
        <f>IF(OR(Data_Model[ [#This Row],[Submission_Date] ]= "",Data_Model[[#This Row],[Resume_Date]] = "",Data_Model[[#This Row],[Submission_Date]] &lt; Data_Model[[#This Row],[Resume_Date]]), "",Data_Model[[#This Row],[Submission_Date]] - Data_Model[[#This Row],[Resume_Date]])</f>
        <v>4</v>
      </c>
      <c r="P35" t="str">
        <f>IF(OR(Data_Model[[#This Row],[Submission_Date]]="",Data_Model[[#This Row],[Interview_Date]]="",Data_Model[[#This Row],[Interview_Date]] &lt; Data_Model[[#This Row],[Submission_Date]]),"",Data_Model[[#This Row],[Interview_Date]]-Data_Model[[#This Row],[Submission_Date]])</f>
        <v/>
      </c>
      <c r="Q35" s="4" t="str">
        <f>IF(OR(Data_Model[[#This Row],[Submission_Date]]="",Data_Model[[#This Row],[Hire_Date]]="",Data_Model[[#This Row],[Hire_Date]] &lt; Data_Model[[#This Row],[Submission_Date]]),"",Data_Model[[#This Row],[Hire_Date]]-Data_Model[[#This Row],[Submission_Date]])</f>
        <v/>
      </c>
      <c r="R35" s="4">
        <f>IF(AND(Data_Model[[#This Row],[Submission_Flag]]=1,Data_Model[[#This Row],[Hire_Flag]]=1,Data_Model[[#This Row],[Hire_Date]]&lt;Data_Model[[#This Row],[Submission_Date]]),1,0)</f>
        <v>0</v>
      </c>
    </row>
    <row r="36" spans="1:18" x14ac:dyDescent="0.25">
      <c r="A36" t="s">
        <v>85</v>
      </c>
      <c r="B36" t="s">
        <v>19</v>
      </c>
      <c r="C36" t="s">
        <v>45</v>
      </c>
      <c r="D36" t="s">
        <v>42</v>
      </c>
      <c r="E36" s="2">
        <v>45660</v>
      </c>
      <c r="F36" t="s">
        <v>43</v>
      </c>
      <c r="G36">
        <v>8</v>
      </c>
      <c r="H36" t="s">
        <v>36</v>
      </c>
      <c r="I3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45675</v>
      </c>
      <c r="J3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36" s="2" t="str">
        <f>IFERROR(IF(_xlfn.MINIFS(tblActivities[Activity_Date],tblActivities[Activity_Type],"Hired",tblActivities[Candidate_ID],Data_Model[[#This Row],[Candidate_ID]])=0,"",_xlfn.MINIFS(tblActivities[Activity_Date],tblActivities[Activity_Type],"Hired",tblActivities[Candidate_ID],Data_Model[[#This Row],[Candidate_ID]])),"")</f>
        <v/>
      </c>
      <c r="L36">
        <f>IF(Data_Model[[#This Row],[Submission_Date]]="",0,1)</f>
        <v>1</v>
      </c>
      <c r="M36">
        <f>IF(Data_Model[[#This Row],[Interview_Date]]="",0,1)</f>
        <v>0</v>
      </c>
      <c r="N36">
        <f>IF(Data_Model[[#This Row],[Hire_Date]]="",0,1)</f>
        <v>0</v>
      </c>
      <c r="O36">
        <f>IF(OR(Data_Model[ [#This Row],[Submission_Date] ]= "",Data_Model[[#This Row],[Resume_Date]] = "",Data_Model[[#This Row],[Submission_Date]] &lt; Data_Model[[#This Row],[Resume_Date]]), "",Data_Model[[#This Row],[Submission_Date]] - Data_Model[[#This Row],[Resume_Date]])</f>
        <v>15</v>
      </c>
      <c r="P36" t="str">
        <f>IF(OR(Data_Model[[#This Row],[Submission_Date]]="",Data_Model[[#This Row],[Interview_Date]]="",Data_Model[[#This Row],[Interview_Date]] &lt; Data_Model[[#This Row],[Submission_Date]]),"",Data_Model[[#This Row],[Interview_Date]]-Data_Model[[#This Row],[Submission_Date]])</f>
        <v/>
      </c>
      <c r="Q36" s="4" t="str">
        <f>IF(OR(Data_Model[[#This Row],[Submission_Date]]="",Data_Model[[#This Row],[Hire_Date]]="",Data_Model[[#This Row],[Hire_Date]] &lt; Data_Model[[#This Row],[Submission_Date]]),"",Data_Model[[#This Row],[Hire_Date]]-Data_Model[[#This Row],[Submission_Date]])</f>
        <v/>
      </c>
      <c r="R36" s="4">
        <f>IF(AND(Data_Model[[#This Row],[Submission_Flag]]=1,Data_Model[[#This Row],[Hire_Flag]]=1,Data_Model[[#This Row],[Hire_Date]]&lt;Data_Model[[#This Row],[Submission_Date]]),1,0)</f>
        <v>0</v>
      </c>
    </row>
    <row r="37" spans="1:18" x14ac:dyDescent="0.25">
      <c r="A37" t="s">
        <v>86</v>
      </c>
      <c r="B37" t="s">
        <v>19</v>
      </c>
      <c r="C37" t="s">
        <v>49</v>
      </c>
      <c r="D37" t="s">
        <v>39</v>
      </c>
      <c r="E37" s="2">
        <v>45674</v>
      </c>
      <c r="F37" t="s">
        <v>46</v>
      </c>
      <c r="G37">
        <v>10</v>
      </c>
      <c r="H37" t="s">
        <v>60</v>
      </c>
      <c r="I3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3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45678</v>
      </c>
      <c r="K37" s="2">
        <f>IFERROR(IF(_xlfn.MINIFS(tblActivities[Activity_Date],tblActivities[Activity_Type],"Hired",tblActivities[Candidate_ID],Data_Model[[#This Row],[Candidate_ID]])=0,"",_xlfn.MINIFS(tblActivities[Activity_Date],tblActivities[Activity_Type],"Hired",tblActivities[Candidate_ID],Data_Model[[#This Row],[Candidate_ID]])),"")</f>
        <v>45677</v>
      </c>
      <c r="L37">
        <f>IF(Data_Model[[#This Row],[Submission_Date]]="",0,1)</f>
        <v>1</v>
      </c>
      <c r="M37">
        <f>IF(Data_Model[[#This Row],[Interview_Date]]="",0,1)</f>
        <v>1</v>
      </c>
      <c r="N37">
        <f>IF(Data_Model[[#This Row],[Hire_Date]]="",0,1)</f>
        <v>1</v>
      </c>
      <c r="O37">
        <f>IF(OR(Data_Model[ [#This Row],[Submission_Date] ]= "",Data_Model[[#This Row],[Resume_Date]] = "",Data_Model[[#This Row],[Submission_Date]] &lt; Data_Model[[#This Row],[Resume_Date]]), "",Data_Model[[#This Row],[Submission_Date]] - Data_Model[[#This Row],[Resume_Date]])</f>
        <v>3</v>
      </c>
      <c r="P37">
        <f>IF(OR(Data_Model[[#This Row],[Submission_Date]]="",Data_Model[[#This Row],[Interview_Date]]="",Data_Model[[#This Row],[Interview_Date]] &lt; Data_Model[[#This Row],[Submission_Date]]),"",Data_Model[[#This Row],[Interview_Date]]-Data_Model[[#This Row],[Submission_Date]])</f>
        <v>1</v>
      </c>
      <c r="Q37" s="4">
        <f>IF(OR(Data_Model[[#This Row],[Submission_Date]]="",Data_Model[[#This Row],[Hire_Date]]="",Data_Model[[#This Row],[Hire_Date]] &lt; Data_Model[[#This Row],[Submission_Date]]),"",Data_Model[[#This Row],[Hire_Date]]-Data_Model[[#This Row],[Submission_Date]])</f>
        <v>0</v>
      </c>
      <c r="R37" s="4">
        <f>IF(AND(Data_Model[[#This Row],[Submission_Flag]]=1,Data_Model[[#This Row],[Hire_Flag]]=1,Data_Model[[#This Row],[Hire_Date]]&lt;Data_Model[[#This Row],[Submission_Date]]),1,0)</f>
        <v>0</v>
      </c>
    </row>
    <row r="38" spans="1:18" x14ac:dyDescent="0.25">
      <c r="A38" t="s">
        <v>87</v>
      </c>
      <c r="B38" t="s">
        <v>10</v>
      </c>
      <c r="C38" t="s">
        <v>38</v>
      </c>
      <c r="D38" t="s">
        <v>42</v>
      </c>
      <c r="E38" s="2">
        <v>45672</v>
      </c>
      <c r="F38" t="s">
        <v>62</v>
      </c>
      <c r="G38">
        <v>10</v>
      </c>
      <c r="H38" t="s">
        <v>47</v>
      </c>
      <c r="I3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3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38" s="2" t="str">
        <f>IFERROR(IF(_xlfn.MINIFS(tblActivities[Activity_Date],tblActivities[Activity_Type],"Hired",tblActivities[Candidate_ID],Data_Model[[#This Row],[Candidate_ID]])=0,"",_xlfn.MINIFS(tblActivities[Activity_Date],tblActivities[Activity_Type],"Hired",tblActivities[Candidate_ID],Data_Model[[#This Row],[Candidate_ID]])),"")</f>
        <v/>
      </c>
      <c r="L38">
        <f>IF(Data_Model[[#This Row],[Submission_Date]]="",0,1)</f>
        <v>0</v>
      </c>
      <c r="M38">
        <f>IF(Data_Model[[#This Row],[Interview_Date]]="",0,1)</f>
        <v>0</v>
      </c>
      <c r="N38">
        <f>IF(Data_Model[[#This Row],[Hire_Date]]="",0,1)</f>
        <v>0</v>
      </c>
      <c r="O38" t="str">
        <f>IF(OR(Data_Model[ [#This Row],[Submission_Date] ]= "",Data_Model[[#This Row],[Resume_Date]] = "",Data_Model[[#This Row],[Submission_Date]] &lt; Data_Model[[#This Row],[Resume_Date]]), "",Data_Model[[#This Row],[Submission_Date]] - Data_Model[[#This Row],[Resume_Date]])</f>
        <v/>
      </c>
      <c r="P38" t="str">
        <f>IF(OR(Data_Model[[#This Row],[Submission_Date]]="",Data_Model[[#This Row],[Interview_Date]]="",Data_Model[[#This Row],[Interview_Date]] &lt; Data_Model[[#This Row],[Submission_Date]]),"",Data_Model[[#This Row],[Interview_Date]]-Data_Model[[#This Row],[Submission_Date]])</f>
        <v/>
      </c>
      <c r="Q38" s="4" t="str">
        <f>IF(OR(Data_Model[[#This Row],[Submission_Date]]="",Data_Model[[#This Row],[Hire_Date]]="",Data_Model[[#This Row],[Hire_Date]] &lt; Data_Model[[#This Row],[Submission_Date]]),"",Data_Model[[#This Row],[Hire_Date]]-Data_Model[[#This Row],[Submission_Date]])</f>
        <v/>
      </c>
      <c r="R38" s="4">
        <f>IF(AND(Data_Model[[#This Row],[Submission_Flag]]=1,Data_Model[[#This Row],[Hire_Flag]]=1,Data_Model[[#This Row],[Hire_Date]]&lt;Data_Model[[#This Row],[Submission_Date]]),1,0)</f>
        <v>0</v>
      </c>
    </row>
    <row r="39" spans="1:18" x14ac:dyDescent="0.25">
      <c r="A39" t="s">
        <v>88</v>
      </c>
      <c r="B39" t="s">
        <v>20</v>
      </c>
      <c r="C39" t="s">
        <v>33</v>
      </c>
      <c r="D39" t="s">
        <v>50</v>
      </c>
      <c r="E39" s="2">
        <v>45665</v>
      </c>
      <c r="F39" t="s">
        <v>40</v>
      </c>
      <c r="G39">
        <v>2</v>
      </c>
      <c r="H39" t="s">
        <v>57</v>
      </c>
      <c r="I3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45672</v>
      </c>
      <c r="J3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45676</v>
      </c>
      <c r="K39" s="2" t="str">
        <f>IFERROR(IF(_xlfn.MINIFS(tblActivities[Activity_Date],tblActivities[Activity_Type],"Hired",tblActivities[Candidate_ID],Data_Model[[#This Row],[Candidate_ID]])=0,"",_xlfn.MINIFS(tblActivities[Activity_Date],tblActivities[Activity_Type],"Hired",tblActivities[Candidate_ID],Data_Model[[#This Row],[Candidate_ID]])),"")</f>
        <v/>
      </c>
      <c r="L39">
        <f>IF(Data_Model[[#This Row],[Submission_Date]]="",0,1)</f>
        <v>1</v>
      </c>
      <c r="M39">
        <f>IF(Data_Model[[#This Row],[Interview_Date]]="",0,1)</f>
        <v>1</v>
      </c>
      <c r="N39">
        <f>IF(Data_Model[[#This Row],[Hire_Date]]="",0,1)</f>
        <v>0</v>
      </c>
      <c r="O39">
        <f>IF(OR(Data_Model[ [#This Row],[Submission_Date] ]= "",Data_Model[[#This Row],[Resume_Date]] = "",Data_Model[[#This Row],[Submission_Date]] &lt; Data_Model[[#This Row],[Resume_Date]]), "",Data_Model[[#This Row],[Submission_Date]] - Data_Model[[#This Row],[Resume_Date]])</f>
        <v>7</v>
      </c>
      <c r="P39">
        <f>IF(OR(Data_Model[[#This Row],[Submission_Date]]="",Data_Model[[#This Row],[Interview_Date]]="",Data_Model[[#This Row],[Interview_Date]] &lt; Data_Model[[#This Row],[Submission_Date]]),"",Data_Model[[#This Row],[Interview_Date]]-Data_Model[[#This Row],[Submission_Date]])</f>
        <v>4</v>
      </c>
      <c r="Q39" s="4" t="str">
        <f>IF(OR(Data_Model[[#This Row],[Submission_Date]]="",Data_Model[[#This Row],[Hire_Date]]="",Data_Model[[#This Row],[Hire_Date]] &lt; Data_Model[[#This Row],[Submission_Date]]),"",Data_Model[[#This Row],[Hire_Date]]-Data_Model[[#This Row],[Submission_Date]])</f>
        <v/>
      </c>
      <c r="R39" s="4">
        <f>IF(AND(Data_Model[[#This Row],[Submission_Flag]]=1,Data_Model[[#This Row],[Hire_Flag]]=1,Data_Model[[#This Row],[Hire_Date]]&lt;Data_Model[[#This Row],[Submission_Date]]),1,0)</f>
        <v>0</v>
      </c>
    </row>
    <row r="40" spans="1:18" x14ac:dyDescent="0.25">
      <c r="A40" t="s">
        <v>89</v>
      </c>
      <c r="B40" t="s">
        <v>10</v>
      </c>
      <c r="C40" t="s">
        <v>33</v>
      </c>
      <c r="D40" t="s">
        <v>34</v>
      </c>
      <c r="E40" s="2">
        <v>45662</v>
      </c>
      <c r="F40" t="s">
        <v>43</v>
      </c>
      <c r="G40">
        <v>3</v>
      </c>
      <c r="H40" t="s">
        <v>60</v>
      </c>
      <c r="I4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45665</v>
      </c>
      <c r="J4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45668</v>
      </c>
      <c r="K40" s="2" t="str">
        <f>IFERROR(IF(_xlfn.MINIFS(tblActivities[Activity_Date],tblActivities[Activity_Type],"Hired",tblActivities[Candidate_ID],Data_Model[[#This Row],[Candidate_ID]])=0,"",_xlfn.MINIFS(tblActivities[Activity_Date],tblActivities[Activity_Type],"Hired",tblActivities[Candidate_ID],Data_Model[[#This Row],[Candidate_ID]])),"")</f>
        <v/>
      </c>
      <c r="L40">
        <f>IF(Data_Model[[#This Row],[Submission_Date]]="",0,1)</f>
        <v>1</v>
      </c>
      <c r="M40">
        <f>IF(Data_Model[[#This Row],[Interview_Date]]="",0,1)</f>
        <v>1</v>
      </c>
      <c r="N40">
        <f>IF(Data_Model[[#This Row],[Hire_Date]]="",0,1)</f>
        <v>0</v>
      </c>
      <c r="O40">
        <f>IF(OR(Data_Model[ [#This Row],[Submission_Date] ]= "",Data_Model[[#This Row],[Resume_Date]] = "",Data_Model[[#This Row],[Submission_Date]] &lt; Data_Model[[#This Row],[Resume_Date]]), "",Data_Model[[#This Row],[Submission_Date]] - Data_Model[[#This Row],[Resume_Date]])</f>
        <v>3</v>
      </c>
      <c r="P40">
        <f>IF(OR(Data_Model[[#This Row],[Submission_Date]]="",Data_Model[[#This Row],[Interview_Date]]="",Data_Model[[#This Row],[Interview_Date]] &lt; Data_Model[[#This Row],[Submission_Date]]),"",Data_Model[[#This Row],[Interview_Date]]-Data_Model[[#This Row],[Submission_Date]])</f>
        <v>3</v>
      </c>
      <c r="Q40" s="4" t="str">
        <f>IF(OR(Data_Model[[#This Row],[Submission_Date]]="",Data_Model[[#This Row],[Hire_Date]]="",Data_Model[[#This Row],[Hire_Date]] &lt; Data_Model[[#This Row],[Submission_Date]]),"",Data_Model[[#This Row],[Hire_Date]]-Data_Model[[#This Row],[Submission_Date]])</f>
        <v/>
      </c>
      <c r="R40" s="4">
        <f>IF(AND(Data_Model[[#This Row],[Submission_Flag]]=1,Data_Model[[#This Row],[Hire_Flag]]=1,Data_Model[[#This Row],[Hire_Date]]&lt;Data_Model[[#This Row],[Submission_Date]]),1,0)</f>
        <v>0</v>
      </c>
    </row>
    <row r="41" spans="1:18" x14ac:dyDescent="0.25">
      <c r="A41" t="s">
        <v>90</v>
      </c>
      <c r="B41" t="s">
        <v>20</v>
      </c>
      <c r="C41" t="s">
        <v>45</v>
      </c>
      <c r="D41" t="s">
        <v>39</v>
      </c>
      <c r="E41" s="2">
        <v>45665</v>
      </c>
      <c r="F41" t="s">
        <v>64</v>
      </c>
      <c r="G41">
        <v>10</v>
      </c>
      <c r="H41" t="s">
        <v>60</v>
      </c>
      <c r="I4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4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45677</v>
      </c>
      <c r="K41" s="2">
        <f>IFERROR(IF(_xlfn.MINIFS(tblActivities[Activity_Date],tblActivities[Activity_Type],"Hired",tblActivities[Candidate_ID],Data_Model[[#This Row],[Candidate_ID]])=0,"",_xlfn.MINIFS(tblActivities[Activity_Date],tblActivities[Activity_Type],"Hired",tblActivities[Candidate_ID],Data_Model[[#This Row],[Candidate_ID]])),"")</f>
        <v>45677</v>
      </c>
      <c r="L41">
        <f>IF(Data_Model[[#This Row],[Submission_Date]]="",0,1)</f>
        <v>0</v>
      </c>
      <c r="M41">
        <f>IF(Data_Model[[#This Row],[Interview_Date]]="",0,1)</f>
        <v>1</v>
      </c>
      <c r="N41">
        <f>IF(Data_Model[[#This Row],[Hire_Date]]="",0,1)</f>
        <v>1</v>
      </c>
      <c r="O41" t="str">
        <f>IF(OR(Data_Model[ [#This Row],[Submission_Date] ]= "",Data_Model[[#This Row],[Resume_Date]] = "",Data_Model[[#This Row],[Submission_Date]] &lt; Data_Model[[#This Row],[Resume_Date]]), "",Data_Model[[#This Row],[Submission_Date]] - Data_Model[[#This Row],[Resume_Date]])</f>
        <v/>
      </c>
      <c r="P41" t="str">
        <f>IF(OR(Data_Model[[#This Row],[Submission_Date]]="",Data_Model[[#This Row],[Interview_Date]]="",Data_Model[[#This Row],[Interview_Date]] &lt; Data_Model[[#This Row],[Submission_Date]]),"",Data_Model[[#This Row],[Interview_Date]]-Data_Model[[#This Row],[Submission_Date]])</f>
        <v/>
      </c>
      <c r="Q41" s="4" t="str">
        <f>IF(OR(Data_Model[[#This Row],[Submission_Date]]="",Data_Model[[#This Row],[Hire_Date]]="",Data_Model[[#This Row],[Hire_Date]] &lt; Data_Model[[#This Row],[Submission_Date]]),"",Data_Model[[#This Row],[Hire_Date]]-Data_Model[[#This Row],[Submission_Date]])</f>
        <v/>
      </c>
      <c r="R41" s="4">
        <f>IF(AND(Data_Model[[#This Row],[Submission_Flag]]=1,Data_Model[[#This Row],[Hire_Flag]]=1,Data_Model[[#This Row],[Hire_Date]]&lt;Data_Model[[#This Row],[Submission_Date]]),1,0)</f>
        <v>0</v>
      </c>
    </row>
    <row r="42" spans="1:18" x14ac:dyDescent="0.25">
      <c r="A42" t="s">
        <v>91</v>
      </c>
      <c r="B42" t="s">
        <v>16</v>
      </c>
      <c r="C42" t="s">
        <v>49</v>
      </c>
      <c r="D42" t="s">
        <v>42</v>
      </c>
      <c r="E42" s="2">
        <v>45674</v>
      </c>
      <c r="F42" t="s">
        <v>64</v>
      </c>
      <c r="G42">
        <v>6</v>
      </c>
      <c r="H42" t="s">
        <v>47</v>
      </c>
      <c r="I4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45679</v>
      </c>
      <c r="J4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45682</v>
      </c>
      <c r="K42" s="2">
        <f>IFERROR(IF(_xlfn.MINIFS(tblActivities[Activity_Date],tblActivities[Activity_Type],"Hired",tblActivities[Candidate_ID],Data_Model[[#This Row],[Candidate_ID]])=0,"",_xlfn.MINIFS(tblActivities[Activity_Date],tblActivities[Activity_Type],"Hired",tblActivities[Candidate_ID],Data_Model[[#This Row],[Candidate_ID]])),"")</f>
        <v>45671</v>
      </c>
      <c r="L42">
        <f>IF(Data_Model[[#This Row],[Submission_Date]]="",0,1)</f>
        <v>1</v>
      </c>
      <c r="M42">
        <f>IF(Data_Model[[#This Row],[Interview_Date]]="",0,1)</f>
        <v>1</v>
      </c>
      <c r="N42">
        <f>IF(Data_Model[[#This Row],[Hire_Date]]="",0,1)</f>
        <v>1</v>
      </c>
      <c r="O42">
        <f>IF(OR(Data_Model[ [#This Row],[Submission_Date] ]= "",Data_Model[[#This Row],[Resume_Date]] = "",Data_Model[[#This Row],[Submission_Date]] &lt; Data_Model[[#This Row],[Resume_Date]]), "",Data_Model[[#This Row],[Submission_Date]] - Data_Model[[#This Row],[Resume_Date]])</f>
        <v>5</v>
      </c>
      <c r="P42">
        <f>IF(OR(Data_Model[[#This Row],[Submission_Date]]="",Data_Model[[#This Row],[Interview_Date]]="",Data_Model[[#This Row],[Interview_Date]] &lt; Data_Model[[#This Row],[Submission_Date]]),"",Data_Model[[#This Row],[Interview_Date]]-Data_Model[[#This Row],[Submission_Date]])</f>
        <v>3</v>
      </c>
      <c r="Q42" s="4" t="str">
        <f>IF(OR(Data_Model[[#This Row],[Submission_Date]]="",Data_Model[[#This Row],[Hire_Date]]="",Data_Model[[#This Row],[Hire_Date]] &lt; Data_Model[[#This Row],[Submission_Date]]),"",Data_Model[[#This Row],[Hire_Date]]-Data_Model[[#This Row],[Submission_Date]])</f>
        <v/>
      </c>
      <c r="R42" s="4">
        <f>IF(AND(Data_Model[[#This Row],[Submission_Flag]]=1,Data_Model[[#This Row],[Hire_Flag]]=1,Data_Model[[#This Row],[Hire_Date]]&lt;Data_Model[[#This Row],[Submission_Date]]),1,0)</f>
        <v>1</v>
      </c>
    </row>
    <row r="43" spans="1:18" x14ac:dyDescent="0.25">
      <c r="A43" t="s">
        <v>92</v>
      </c>
      <c r="B43" t="s">
        <v>17</v>
      </c>
      <c r="C43" t="s">
        <v>33</v>
      </c>
      <c r="D43" t="s">
        <v>52</v>
      </c>
      <c r="E43" s="2">
        <v>45665</v>
      </c>
      <c r="F43" t="s">
        <v>64</v>
      </c>
      <c r="G43">
        <v>7</v>
      </c>
      <c r="H43" t="s">
        <v>36</v>
      </c>
      <c r="I4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4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45682</v>
      </c>
      <c r="K43" s="2" t="str">
        <f>IFERROR(IF(_xlfn.MINIFS(tblActivities[Activity_Date],tblActivities[Activity_Type],"Hired",tblActivities[Candidate_ID],Data_Model[[#This Row],[Candidate_ID]])=0,"",_xlfn.MINIFS(tblActivities[Activity_Date],tblActivities[Activity_Type],"Hired",tblActivities[Candidate_ID],Data_Model[[#This Row],[Candidate_ID]])),"")</f>
        <v/>
      </c>
      <c r="L43">
        <f>IF(Data_Model[[#This Row],[Submission_Date]]="",0,1)</f>
        <v>0</v>
      </c>
      <c r="M43">
        <f>IF(Data_Model[[#This Row],[Interview_Date]]="",0,1)</f>
        <v>1</v>
      </c>
      <c r="N43">
        <f>IF(Data_Model[[#This Row],[Hire_Date]]="",0,1)</f>
        <v>0</v>
      </c>
      <c r="O43" t="str">
        <f>IF(OR(Data_Model[ [#This Row],[Submission_Date] ]= "",Data_Model[[#This Row],[Resume_Date]] = "",Data_Model[[#This Row],[Submission_Date]] &lt; Data_Model[[#This Row],[Resume_Date]]), "",Data_Model[[#This Row],[Submission_Date]] - Data_Model[[#This Row],[Resume_Date]])</f>
        <v/>
      </c>
      <c r="P43" t="str">
        <f>IF(OR(Data_Model[[#This Row],[Submission_Date]]="",Data_Model[[#This Row],[Interview_Date]]="",Data_Model[[#This Row],[Interview_Date]] &lt; Data_Model[[#This Row],[Submission_Date]]),"",Data_Model[[#This Row],[Interview_Date]]-Data_Model[[#This Row],[Submission_Date]])</f>
        <v/>
      </c>
      <c r="Q43" s="4" t="str">
        <f>IF(OR(Data_Model[[#This Row],[Submission_Date]]="",Data_Model[[#This Row],[Hire_Date]]="",Data_Model[[#This Row],[Hire_Date]] &lt; Data_Model[[#This Row],[Submission_Date]]),"",Data_Model[[#This Row],[Hire_Date]]-Data_Model[[#This Row],[Submission_Date]])</f>
        <v/>
      </c>
      <c r="R43" s="4">
        <f>IF(AND(Data_Model[[#This Row],[Submission_Flag]]=1,Data_Model[[#This Row],[Hire_Flag]]=1,Data_Model[[#This Row],[Hire_Date]]&lt;Data_Model[[#This Row],[Submission_Date]]),1,0)</f>
        <v>0</v>
      </c>
    </row>
    <row r="44" spans="1:18" x14ac:dyDescent="0.25">
      <c r="A44" t="s">
        <v>93</v>
      </c>
      <c r="B44" t="s">
        <v>6</v>
      </c>
      <c r="C44" t="s">
        <v>38</v>
      </c>
      <c r="D44" t="s">
        <v>34</v>
      </c>
      <c r="E44" s="2">
        <v>45672</v>
      </c>
      <c r="F44" t="s">
        <v>35</v>
      </c>
      <c r="G44">
        <v>7</v>
      </c>
      <c r="H44" t="s">
        <v>57</v>
      </c>
      <c r="I44"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44"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44" s="2" t="str">
        <f>IFERROR(IF(_xlfn.MINIFS(tblActivities[Activity_Date],tblActivities[Activity_Type],"Hired",tblActivities[Candidate_ID],Data_Model[[#This Row],[Candidate_ID]])=0,"",_xlfn.MINIFS(tblActivities[Activity_Date],tblActivities[Activity_Type],"Hired",tblActivities[Candidate_ID],Data_Model[[#This Row],[Candidate_ID]])),"")</f>
        <v/>
      </c>
      <c r="L44">
        <f>IF(Data_Model[[#This Row],[Submission_Date]]="",0,1)</f>
        <v>1</v>
      </c>
      <c r="M44">
        <f>IF(Data_Model[[#This Row],[Interview_Date]]="",0,1)</f>
        <v>0</v>
      </c>
      <c r="N44">
        <f>IF(Data_Model[[#This Row],[Hire_Date]]="",0,1)</f>
        <v>0</v>
      </c>
      <c r="O44" t="str">
        <f>IF(OR(Data_Model[ [#This Row],[Submission_Date] ]= "",Data_Model[[#This Row],[Resume_Date]] = "",Data_Model[[#This Row],[Submission_Date]] &lt; Data_Model[[#This Row],[Resume_Date]]), "",Data_Model[[#This Row],[Submission_Date]] - Data_Model[[#This Row],[Resume_Date]])</f>
        <v/>
      </c>
      <c r="P44" t="str">
        <f>IF(OR(Data_Model[[#This Row],[Submission_Date]]="",Data_Model[[#This Row],[Interview_Date]]="",Data_Model[[#This Row],[Interview_Date]] &lt; Data_Model[[#This Row],[Submission_Date]]),"",Data_Model[[#This Row],[Interview_Date]]-Data_Model[[#This Row],[Submission_Date]])</f>
        <v/>
      </c>
      <c r="Q44" s="4" t="str">
        <f>IF(OR(Data_Model[[#This Row],[Submission_Date]]="",Data_Model[[#This Row],[Hire_Date]]="",Data_Model[[#This Row],[Hire_Date]] &lt; Data_Model[[#This Row],[Submission_Date]]),"",Data_Model[[#This Row],[Hire_Date]]-Data_Model[[#This Row],[Submission_Date]])</f>
        <v/>
      </c>
      <c r="R44" s="4">
        <f>IF(AND(Data_Model[[#This Row],[Submission_Flag]]=1,Data_Model[[#This Row],[Hire_Flag]]=1,Data_Model[[#This Row],[Hire_Date]]&lt;Data_Model[[#This Row],[Submission_Date]]),1,0)</f>
        <v>0</v>
      </c>
    </row>
    <row r="45" spans="1:18" x14ac:dyDescent="0.25">
      <c r="A45" t="s">
        <v>94</v>
      </c>
      <c r="B45" t="s">
        <v>24</v>
      </c>
      <c r="C45" t="s">
        <v>33</v>
      </c>
      <c r="D45" t="s">
        <v>52</v>
      </c>
      <c r="E45" s="2">
        <v>45674</v>
      </c>
      <c r="F45" t="s">
        <v>62</v>
      </c>
      <c r="G45">
        <v>4</v>
      </c>
      <c r="H45" t="s">
        <v>57</v>
      </c>
      <c r="I4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45671</v>
      </c>
      <c r="J4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45673</v>
      </c>
      <c r="K45" s="2">
        <f>IFERROR(IF(_xlfn.MINIFS(tblActivities[Activity_Date],tblActivities[Activity_Type],"Hired",tblActivities[Candidate_ID],Data_Model[[#This Row],[Candidate_ID]])=0,"",_xlfn.MINIFS(tblActivities[Activity_Date],tblActivities[Activity_Type],"Hired",tblActivities[Candidate_ID],Data_Model[[#This Row],[Candidate_ID]])),"")</f>
        <v>45676</v>
      </c>
      <c r="L45">
        <f>IF(Data_Model[[#This Row],[Submission_Date]]="",0,1)</f>
        <v>1</v>
      </c>
      <c r="M45">
        <f>IF(Data_Model[[#This Row],[Interview_Date]]="",0,1)</f>
        <v>1</v>
      </c>
      <c r="N45">
        <f>IF(Data_Model[[#This Row],[Hire_Date]]="",0,1)</f>
        <v>1</v>
      </c>
      <c r="O45" t="str">
        <f>IF(OR(Data_Model[ [#This Row],[Submission_Date] ]= "",Data_Model[[#This Row],[Resume_Date]] = "",Data_Model[[#This Row],[Submission_Date]] &lt; Data_Model[[#This Row],[Resume_Date]]), "",Data_Model[[#This Row],[Submission_Date]] - Data_Model[[#This Row],[Resume_Date]])</f>
        <v/>
      </c>
      <c r="P45">
        <f>IF(OR(Data_Model[[#This Row],[Submission_Date]]="",Data_Model[[#This Row],[Interview_Date]]="",Data_Model[[#This Row],[Interview_Date]] &lt; Data_Model[[#This Row],[Submission_Date]]),"",Data_Model[[#This Row],[Interview_Date]]-Data_Model[[#This Row],[Submission_Date]])</f>
        <v>2</v>
      </c>
      <c r="Q45" s="4">
        <f>IF(OR(Data_Model[[#This Row],[Submission_Date]]="",Data_Model[[#This Row],[Hire_Date]]="",Data_Model[[#This Row],[Hire_Date]] &lt; Data_Model[[#This Row],[Submission_Date]]),"",Data_Model[[#This Row],[Hire_Date]]-Data_Model[[#This Row],[Submission_Date]])</f>
        <v>5</v>
      </c>
      <c r="R45" s="4">
        <f>IF(AND(Data_Model[[#This Row],[Submission_Flag]]=1,Data_Model[[#This Row],[Hire_Flag]]=1,Data_Model[[#This Row],[Hire_Date]]&lt;Data_Model[[#This Row],[Submission_Date]]),1,0)</f>
        <v>0</v>
      </c>
    </row>
    <row r="46" spans="1:18" x14ac:dyDescent="0.25">
      <c r="A46" t="s">
        <v>95</v>
      </c>
      <c r="B46" t="s">
        <v>6</v>
      </c>
      <c r="C46" t="s">
        <v>45</v>
      </c>
      <c r="D46" t="s">
        <v>42</v>
      </c>
      <c r="E46" s="2">
        <v>45666</v>
      </c>
      <c r="F46" t="s">
        <v>64</v>
      </c>
      <c r="G46">
        <v>3</v>
      </c>
      <c r="H46" t="s">
        <v>36</v>
      </c>
      <c r="I4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4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45673</v>
      </c>
      <c r="K46" s="2">
        <f>IFERROR(IF(_xlfn.MINIFS(tblActivities[Activity_Date],tblActivities[Activity_Type],"Hired",tblActivities[Candidate_ID],Data_Model[[#This Row],[Candidate_ID]])=0,"",_xlfn.MINIFS(tblActivities[Activity_Date],tblActivities[Activity_Type],"Hired",tblActivities[Candidate_ID],Data_Model[[#This Row],[Candidate_ID]])),"")</f>
        <v>45667</v>
      </c>
      <c r="L46">
        <f>IF(Data_Model[[#This Row],[Submission_Date]]="",0,1)</f>
        <v>0</v>
      </c>
      <c r="M46">
        <f>IF(Data_Model[[#This Row],[Interview_Date]]="",0,1)</f>
        <v>1</v>
      </c>
      <c r="N46">
        <f>IF(Data_Model[[#This Row],[Hire_Date]]="",0,1)</f>
        <v>1</v>
      </c>
      <c r="O46" t="str">
        <f>IF(OR(Data_Model[ [#This Row],[Submission_Date] ]= "",Data_Model[[#This Row],[Resume_Date]] = "",Data_Model[[#This Row],[Submission_Date]] &lt; Data_Model[[#This Row],[Resume_Date]]), "",Data_Model[[#This Row],[Submission_Date]] - Data_Model[[#This Row],[Resume_Date]])</f>
        <v/>
      </c>
      <c r="P46" t="str">
        <f>IF(OR(Data_Model[[#This Row],[Submission_Date]]="",Data_Model[[#This Row],[Interview_Date]]="",Data_Model[[#This Row],[Interview_Date]] &lt; Data_Model[[#This Row],[Submission_Date]]),"",Data_Model[[#This Row],[Interview_Date]]-Data_Model[[#This Row],[Submission_Date]])</f>
        <v/>
      </c>
      <c r="Q46" s="4" t="str">
        <f>IF(OR(Data_Model[[#This Row],[Submission_Date]]="",Data_Model[[#This Row],[Hire_Date]]="",Data_Model[[#This Row],[Hire_Date]] &lt; Data_Model[[#This Row],[Submission_Date]]),"",Data_Model[[#This Row],[Hire_Date]]-Data_Model[[#This Row],[Submission_Date]])</f>
        <v/>
      </c>
      <c r="R46" s="4">
        <f>IF(AND(Data_Model[[#This Row],[Submission_Flag]]=1,Data_Model[[#This Row],[Hire_Flag]]=1,Data_Model[[#This Row],[Hire_Date]]&lt;Data_Model[[#This Row],[Submission_Date]]),1,0)</f>
        <v>0</v>
      </c>
    </row>
    <row r="47" spans="1:18" x14ac:dyDescent="0.25">
      <c r="A47" t="s">
        <v>96</v>
      </c>
      <c r="B47" t="s">
        <v>6</v>
      </c>
      <c r="C47" t="s">
        <v>33</v>
      </c>
      <c r="D47" t="s">
        <v>42</v>
      </c>
      <c r="E47" s="2">
        <v>45663</v>
      </c>
      <c r="F47" t="s">
        <v>43</v>
      </c>
      <c r="G47">
        <v>8</v>
      </c>
      <c r="H47" t="s">
        <v>57</v>
      </c>
      <c r="I47"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4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45665</v>
      </c>
      <c r="K47" s="2" t="str">
        <f>IFERROR(IF(_xlfn.MINIFS(tblActivities[Activity_Date],tblActivities[Activity_Type],"Hired",tblActivities[Candidate_ID],Data_Model[[#This Row],[Candidate_ID]])=0,"",_xlfn.MINIFS(tblActivities[Activity_Date],tblActivities[Activity_Type],"Hired",tblActivities[Candidate_ID],Data_Model[[#This Row],[Candidate_ID]])),"")</f>
        <v/>
      </c>
      <c r="L47">
        <f>IF(Data_Model[[#This Row],[Submission_Date]]="",0,1)</f>
        <v>0</v>
      </c>
      <c r="M47">
        <f>IF(Data_Model[[#This Row],[Interview_Date]]="",0,1)</f>
        <v>1</v>
      </c>
      <c r="N47">
        <f>IF(Data_Model[[#This Row],[Hire_Date]]="",0,1)</f>
        <v>0</v>
      </c>
      <c r="O47" t="str">
        <f>IF(OR(Data_Model[ [#This Row],[Submission_Date] ]= "",Data_Model[[#This Row],[Resume_Date]] = "",Data_Model[[#This Row],[Submission_Date]] &lt; Data_Model[[#This Row],[Resume_Date]]), "",Data_Model[[#This Row],[Submission_Date]] - Data_Model[[#This Row],[Resume_Date]])</f>
        <v/>
      </c>
      <c r="P47" t="str">
        <f>IF(OR(Data_Model[[#This Row],[Submission_Date]]="",Data_Model[[#This Row],[Interview_Date]]="",Data_Model[[#This Row],[Interview_Date]] &lt; Data_Model[[#This Row],[Submission_Date]]),"",Data_Model[[#This Row],[Interview_Date]]-Data_Model[[#This Row],[Submission_Date]])</f>
        <v/>
      </c>
      <c r="Q47" s="4" t="str">
        <f>IF(OR(Data_Model[[#This Row],[Submission_Date]]="",Data_Model[[#This Row],[Hire_Date]]="",Data_Model[[#This Row],[Hire_Date]] &lt; Data_Model[[#This Row],[Submission_Date]]),"",Data_Model[[#This Row],[Hire_Date]]-Data_Model[[#This Row],[Submission_Date]])</f>
        <v/>
      </c>
      <c r="R47" s="4">
        <f>IF(AND(Data_Model[[#This Row],[Submission_Flag]]=1,Data_Model[[#This Row],[Hire_Flag]]=1,Data_Model[[#This Row],[Hire_Date]]&lt;Data_Model[[#This Row],[Submission_Date]]),1,0)</f>
        <v>0</v>
      </c>
    </row>
    <row r="48" spans="1:18" x14ac:dyDescent="0.25">
      <c r="A48" t="s">
        <v>97</v>
      </c>
      <c r="B48" t="s">
        <v>23</v>
      </c>
      <c r="C48" t="s">
        <v>38</v>
      </c>
      <c r="D48" t="s">
        <v>50</v>
      </c>
      <c r="E48" s="2">
        <v>45677</v>
      </c>
      <c r="F48" t="s">
        <v>40</v>
      </c>
      <c r="G48">
        <v>8</v>
      </c>
      <c r="H48" t="s">
        <v>36</v>
      </c>
      <c r="I48"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45683</v>
      </c>
      <c r="J4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48" s="2">
        <f>IFERROR(IF(_xlfn.MINIFS(tblActivities[Activity_Date],tblActivities[Activity_Type],"Hired",tblActivities[Candidate_ID],Data_Model[[#This Row],[Candidate_ID]])=0,"",_xlfn.MINIFS(tblActivities[Activity_Date],tblActivities[Activity_Type],"Hired",tblActivities[Candidate_ID],Data_Model[[#This Row],[Candidate_ID]])),"")</f>
        <v>45675</v>
      </c>
      <c r="L48">
        <f>IF(Data_Model[[#This Row],[Submission_Date]]="",0,1)</f>
        <v>1</v>
      </c>
      <c r="M48">
        <f>IF(Data_Model[[#This Row],[Interview_Date]]="",0,1)</f>
        <v>0</v>
      </c>
      <c r="N48">
        <f>IF(Data_Model[[#This Row],[Hire_Date]]="",0,1)</f>
        <v>1</v>
      </c>
      <c r="O48">
        <f>IF(OR(Data_Model[ [#This Row],[Submission_Date] ]= "",Data_Model[[#This Row],[Resume_Date]] = "",Data_Model[[#This Row],[Submission_Date]] &lt; Data_Model[[#This Row],[Resume_Date]]), "",Data_Model[[#This Row],[Submission_Date]] - Data_Model[[#This Row],[Resume_Date]])</f>
        <v>6</v>
      </c>
      <c r="P48" t="str">
        <f>IF(OR(Data_Model[[#This Row],[Submission_Date]]="",Data_Model[[#This Row],[Interview_Date]]="",Data_Model[[#This Row],[Interview_Date]] &lt; Data_Model[[#This Row],[Submission_Date]]),"",Data_Model[[#This Row],[Interview_Date]]-Data_Model[[#This Row],[Submission_Date]])</f>
        <v/>
      </c>
      <c r="Q48" s="4" t="str">
        <f>IF(OR(Data_Model[[#This Row],[Submission_Date]]="",Data_Model[[#This Row],[Hire_Date]]="",Data_Model[[#This Row],[Hire_Date]] &lt; Data_Model[[#This Row],[Submission_Date]]),"",Data_Model[[#This Row],[Hire_Date]]-Data_Model[[#This Row],[Submission_Date]])</f>
        <v/>
      </c>
      <c r="R48" s="4">
        <f>IF(AND(Data_Model[[#This Row],[Submission_Flag]]=1,Data_Model[[#This Row],[Hire_Flag]]=1,Data_Model[[#This Row],[Hire_Date]]&lt;Data_Model[[#This Row],[Submission_Date]]),1,0)</f>
        <v>1</v>
      </c>
    </row>
    <row r="49" spans="1:18" x14ac:dyDescent="0.25">
      <c r="A49" t="s">
        <v>98</v>
      </c>
      <c r="B49" t="s">
        <v>20</v>
      </c>
      <c r="C49" t="s">
        <v>45</v>
      </c>
      <c r="D49" t="s">
        <v>34</v>
      </c>
      <c r="E49" s="2">
        <v>45662</v>
      </c>
      <c r="F49" t="s">
        <v>46</v>
      </c>
      <c r="G49">
        <v>9</v>
      </c>
      <c r="H49" t="s">
        <v>60</v>
      </c>
      <c r="I4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4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45681</v>
      </c>
      <c r="K49" s="2">
        <f>IFERROR(IF(_xlfn.MINIFS(tblActivities[Activity_Date],tblActivities[Activity_Type],"Hired",tblActivities[Candidate_ID],Data_Model[[#This Row],[Candidate_ID]])=0,"",_xlfn.MINIFS(tblActivities[Activity_Date],tblActivities[Activity_Type],"Hired",tblActivities[Candidate_ID],Data_Model[[#This Row],[Candidate_ID]])),"")</f>
        <v>45683</v>
      </c>
      <c r="L49">
        <f>IF(Data_Model[[#This Row],[Submission_Date]]="",0,1)</f>
        <v>0</v>
      </c>
      <c r="M49">
        <f>IF(Data_Model[[#This Row],[Interview_Date]]="",0,1)</f>
        <v>1</v>
      </c>
      <c r="N49">
        <f>IF(Data_Model[[#This Row],[Hire_Date]]="",0,1)</f>
        <v>1</v>
      </c>
      <c r="O49" t="str">
        <f>IF(OR(Data_Model[ [#This Row],[Submission_Date] ]= "",Data_Model[[#This Row],[Resume_Date]] = "",Data_Model[[#This Row],[Submission_Date]] &lt; Data_Model[[#This Row],[Resume_Date]]), "",Data_Model[[#This Row],[Submission_Date]] - Data_Model[[#This Row],[Resume_Date]])</f>
        <v/>
      </c>
      <c r="P49" t="str">
        <f>IF(OR(Data_Model[[#This Row],[Submission_Date]]="",Data_Model[[#This Row],[Interview_Date]]="",Data_Model[[#This Row],[Interview_Date]] &lt; Data_Model[[#This Row],[Submission_Date]]),"",Data_Model[[#This Row],[Interview_Date]]-Data_Model[[#This Row],[Submission_Date]])</f>
        <v/>
      </c>
      <c r="Q49" s="4" t="str">
        <f>IF(OR(Data_Model[[#This Row],[Submission_Date]]="",Data_Model[[#This Row],[Hire_Date]]="",Data_Model[[#This Row],[Hire_Date]] &lt; Data_Model[[#This Row],[Submission_Date]]),"",Data_Model[[#This Row],[Hire_Date]]-Data_Model[[#This Row],[Submission_Date]])</f>
        <v/>
      </c>
      <c r="R49" s="4">
        <f>IF(AND(Data_Model[[#This Row],[Submission_Flag]]=1,Data_Model[[#This Row],[Hire_Flag]]=1,Data_Model[[#This Row],[Hire_Date]]&lt;Data_Model[[#This Row],[Submission_Date]]),1,0)</f>
        <v>0</v>
      </c>
    </row>
    <row r="50" spans="1:18" x14ac:dyDescent="0.25">
      <c r="A50" t="s">
        <v>99</v>
      </c>
      <c r="B50" t="s">
        <v>13</v>
      </c>
      <c r="C50" t="s">
        <v>38</v>
      </c>
      <c r="D50" t="s">
        <v>50</v>
      </c>
      <c r="E50" s="2">
        <v>45673</v>
      </c>
      <c r="F50" t="s">
        <v>62</v>
      </c>
      <c r="G50">
        <v>6</v>
      </c>
      <c r="H50" t="s">
        <v>57</v>
      </c>
      <c r="I5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5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50" s="2">
        <f>IFERROR(IF(_xlfn.MINIFS(tblActivities[Activity_Date],tblActivities[Activity_Type],"Hired",tblActivities[Candidate_ID],Data_Model[[#This Row],[Candidate_ID]])=0,"",_xlfn.MINIFS(tblActivities[Activity_Date],tblActivities[Activity_Type],"Hired",tblActivities[Candidate_ID],Data_Model[[#This Row],[Candidate_ID]])),"")</f>
        <v>45685</v>
      </c>
      <c r="L50">
        <f>IF(Data_Model[[#This Row],[Submission_Date]]="",0,1)</f>
        <v>0</v>
      </c>
      <c r="M50">
        <f>IF(Data_Model[[#This Row],[Interview_Date]]="",0,1)</f>
        <v>0</v>
      </c>
      <c r="N50">
        <f>IF(Data_Model[[#This Row],[Hire_Date]]="",0,1)</f>
        <v>1</v>
      </c>
      <c r="O50" t="str">
        <f>IF(OR(Data_Model[ [#This Row],[Submission_Date] ]= "",Data_Model[[#This Row],[Resume_Date]] = "",Data_Model[[#This Row],[Submission_Date]] &lt; Data_Model[[#This Row],[Resume_Date]]), "",Data_Model[[#This Row],[Submission_Date]] - Data_Model[[#This Row],[Resume_Date]])</f>
        <v/>
      </c>
      <c r="P50" t="str">
        <f>IF(OR(Data_Model[[#This Row],[Submission_Date]]="",Data_Model[[#This Row],[Interview_Date]]="",Data_Model[[#This Row],[Interview_Date]] &lt; Data_Model[[#This Row],[Submission_Date]]),"",Data_Model[[#This Row],[Interview_Date]]-Data_Model[[#This Row],[Submission_Date]])</f>
        <v/>
      </c>
      <c r="Q50" s="4" t="str">
        <f>IF(OR(Data_Model[[#This Row],[Submission_Date]]="",Data_Model[[#This Row],[Hire_Date]]="",Data_Model[[#This Row],[Hire_Date]] &lt; Data_Model[[#This Row],[Submission_Date]]),"",Data_Model[[#This Row],[Hire_Date]]-Data_Model[[#This Row],[Submission_Date]])</f>
        <v/>
      </c>
      <c r="R50" s="4">
        <f>IF(AND(Data_Model[[#This Row],[Submission_Flag]]=1,Data_Model[[#This Row],[Hire_Flag]]=1,Data_Model[[#This Row],[Hire_Date]]&lt;Data_Model[[#This Row],[Submission_Date]]),1,0)</f>
        <v>0</v>
      </c>
    </row>
    <row r="51" spans="1:18" x14ac:dyDescent="0.25">
      <c r="A51" t="s">
        <v>100</v>
      </c>
      <c r="B51" t="s">
        <v>20</v>
      </c>
      <c r="C51" t="s">
        <v>33</v>
      </c>
      <c r="D51" t="s">
        <v>52</v>
      </c>
      <c r="E51" s="2">
        <v>45671</v>
      </c>
      <c r="F51" t="s">
        <v>62</v>
      </c>
      <c r="G51">
        <v>5</v>
      </c>
      <c r="H51" t="s">
        <v>57</v>
      </c>
      <c r="I5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5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51" s="2" t="str">
        <f>IFERROR(IF(_xlfn.MINIFS(tblActivities[Activity_Date],tblActivities[Activity_Type],"Hired",tblActivities[Candidate_ID],Data_Model[[#This Row],[Candidate_ID]])=0,"",_xlfn.MINIFS(tblActivities[Activity_Date],tblActivities[Activity_Type],"Hired",tblActivities[Candidate_ID],Data_Model[[#This Row],[Candidate_ID]])),"")</f>
        <v/>
      </c>
      <c r="L51">
        <f>IF(Data_Model[[#This Row],[Submission_Date]]="",0,1)</f>
        <v>0</v>
      </c>
      <c r="M51">
        <f>IF(Data_Model[[#This Row],[Interview_Date]]="",0,1)</f>
        <v>0</v>
      </c>
      <c r="N51">
        <f>IF(Data_Model[[#This Row],[Hire_Date]]="",0,1)</f>
        <v>0</v>
      </c>
      <c r="O51" t="str">
        <f>IF(OR(Data_Model[ [#This Row],[Submission_Date] ]= "",Data_Model[[#This Row],[Resume_Date]] = "",Data_Model[[#This Row],[Submission_Date]] &lt; Data_Model[[#This Row],[Resume_Date]]), "",Data_Model[[#This Row],[Submission_Date]] - Data_Model[[#This Row],[Resume_Date]])</f>
        <v/>
      </c>
      <c r="P51" t="str">
        <f>IF(OR(Data_Model[[#This Row],[Submission_Date]]="",Data_Model[[#This Row],[Interview_Date]]="",Data_Model[[#This Row],[Interview_Date]] &lt; Data_Model[[#This Row],[Submission_Date]]),"",Data_Model[[#This Row],[Interview_Date]]-Data_Model[[#This Row],[Submission_Date]])</f>
        <v/>
      </c>
      <c r="Q51" s="4" t="str">
        <f>IF(OR(Data_Model[[#This Row],[Submission_Date]]="",Data_Model[[#This Row],[Hire_Date]]="",Data_Model[[#This Row],[Hire_Date]] &lt; Data_Model[[#This Row],[Submission_Date]]),"",Data_Model[[#This Row],[Hire_Date]]-Data_Model[[#This Row],[Submission_Date]])</f>
        <v/>
      </c>
      <c r="R51" s="4">
        <f>IF(AND(Data_Model[[#This Row],[Submission_Flag]]=1,Data_Model[[#This Row],[Hire_Flag]]=1,Data_Model[[#This Row],[Hire_Date]]&lt;Data_Model[[#This Row],[Submission_Date]]),1,0)</f>
        <v>0</v>
      </c>
    </row>
    <row r="52" spans="1:18" x14ac:dyDescent="0.25">
      <c r="A52" t="s">
        <v>101</v>
      </c>
      <c r="B52" t="s">
        <v>19</v>
      </c>
      <c r="C52" t="s">
        <v>45</v>
      </c>
      <c r="D52" t="s">
        <v>34</v>
      </c>
      <c r="E52" s="2">
        <v>45665</v>
      </c>
      <c r="F52" t="s">
        <v>35</v>
      </c>
      <c r="G52">
        <v>8</v>
      </c>
      <c r="H52" t="s">
        <v>60</v>
      </c>
      <c r="I5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5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45669</v>
      </c>
      <c r="K52" s="2">
        <f>IFERROR(IF(_xlfn.MINIFS(tblActivities[Activity_Date],tblActivities[Activity_Type],"Hired",tblActivities[Candidate_ID],Data_Model[[#This Row],[Candidate_ID]])=0,"",_xlfn.MINIFS(tblActivities[Activity_Date],tblActivities[Activity_Type],"Hired",tblActivities[Candidate_ID],Data_Model[[#This Row],[Candidate_ID]])),"")</f>
        <v>45683</v>
      </c>
      <c r="L52">
        <f>IF(Data_Model[[#This Row],[Submission_Date]]="",0,1)</f>
        <v>0</v>
      </c>
      <c r="M52">
        <f>IF(Data_Model[[#This Row],[Interview_Date]]="",0,1)</f>
        <v>1</v>
      </c>
      <c r="N52">
        <f>IF(Data_Model[[#This Row],[Hire_Date]]="",0,1)</f>
        <v>1</v>
      </c>
      <c r="O52" t="str">
        <f>IF(OR(Data_Model[ [#This Row],[Submission_Date] ]= "",Data_Model[[#This Row],[Resume_Date]] = "",Data_Model[[#This Row],[Submission_Date]] &lt; Data_Model[[#This Row],[Resume_Date]]), "",Data_Model[[#This Row],[Submission_Date]] - Data_Model[[#This Row],[Resume_Date]])</f>
        <v/>
      </c>
      <c r="P52" t="str">
        <f>IF(OR(Data_Model[[#This Row],[Submission_Date]]="",Data_Model[[#This Row],[Interview_Date]]="",Data_Model[[#This Row],[Interview_Date]] &lt; Data_Model[[#This Row],[Submission_Date]]),"",Data_Model[[#This Row],[Interview_Date]]-Data_Model[[#This Row],[Submission_Date]])</f>
        <v/>
      </c>
      <c r="Q52" s="4" t="str">
        <f>IF(OR(Data_Model[[#This Row],[Submission_Date]]="",Data_Model[[#This Row],[Hire_Date]]="",Data_Model[[#This Row],[Hire_Date]] &lt; Data_Model[[#This Row],[Submission_Date]]),"",Data_Model[[#This Row],[Hire_Date]]-Data_Model[[#This Row],[Submission_Date]])</f>
        <v/>
      </c>
      <c r="R52" s="4">
        <f>IF(AND(Data_Model[[#This Row],[Submission_Flag]]=1,Data_Model[[#This Row],[Hire_Flag]]=1,Data_Model[[#This Row],[Hire_Date]]&lt;Data_Model[[#This Row],[Submission_Date]]),1,0)</f>
        <v>0</v>
      </c>
    </row>
    <row r="53" spans="1:18" x14ac:dyDescent="0.25">
      <c r="A53" t="s">
        <v>102</v>
      </c>
      <c r="B53" t="s">
        <v>17</v>
      </c>
      <c r="C53" t="s">
        <v>49</v>
      </c>
      <c r="D53" t="s">
        <v>42</v>
      </c>
      <c r="E53" s="2">
        <v>45675</v>
      </c>
      <c r="F53" t="s">
        <v>40</v>
      </c>
      <c r="G53">
        <v>9</v>
      </c>
      <c r="H53" t="s">
        <v>60</v>
      </c>
      <c r="I5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5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53" s="2" t="str">
        <f>IFERROR(IF(_xlfn.MINIFS(tblActivities[Activity_Date],tblActivities[Activity_Type],"Hired",tblActivities[Candidate_ID],Data_Model[[#This Row],[Candidate_ID]])=0,"",_xlfn.MINIFS(tblActivities[Activity_Date],tblActivities[Activity_Type],"Hired",tblActivities[Candidate_ID],Data_Model[[#This Row],[Candidate_ID]])),"")</f>
        <v/>
      </c>
      <c r="L53">
        <f>IF(Data_Model[[#This Row],[Submission_Date]]="",0,1)</f>
        <v>1</v>
      </c>
      <c r="M53">
        <f>IF(Data_Model[[#This Row],[Interview_Date]]="",0,1)</f>
        <v>0</v>
      </c>
      <c r="N53">
        <f>IF(Data_Model[[#This Row],[Hire_Date]]="",0,1)</f>
        <v>0</v>
      </c>
      <c r="O53">
        <f>IF(OR(Data_Model[ [#This Row],[Submission_Date] ]= "",Data_Model[[#This Row],[Resume_Date]] = "",Data_Model[[#This Row],[Submission_Date]] &lt; Data_Model[[#This Row],[Resume_Date]]), "",Data_Model[[#This Row],[Submission_Date]] - Data_Model[[#This Row],[Resume_Date]])</f>
        <v>2</v>
      </c>
      <c r="P53" t="str">
        <f>IF(OR(Data_Model[[#This Row],[Submission_Date]]="",Data_Model[[#This Row],[Interview_Date]]="",Data_Model[[#This Row],[Interview_Date]] &lt; Data_Model[[#This Row],[Submission_Date]]),"",Data_Model[[#This Row],[Interview_Date]]-Data_Model[[#This Row],[Submission_Date]])</f>
        <v/>
      </c>
      <c r="Q53" s="4" t="str">
        <f>IF(OR(Data_Model[[#This Row],[Submission_Date]]="",Data_Model[[#This Row],[Hire_Date]]="",Data_Model[[#This Row],[Hire_Date]] &lt; Data_Model[[#This Row],[Submission_Date]]),"",Data_Model[[#This Row],[Hire_Date]]-Data_Model[[#This Row],[Submission_Date]])</f>
        <v/>
      </c>
      <c r="R53" s="4">
        <f>IF(AND(Data_Model[[#This Row],[Submission_Flag]]=1,Data_Model[[#This Row],[Hire_Flag]]=1,Data_Model[[#This Row],[Hire_Date]]&lt;Data_Model[[#This Row],[Submission_Date]]),1,0)</f>
        <v>0</v>
      </c>
    </row>
    <row r="54" spans="1:18" x14ac:dyDescent="0.25">
      <c r="A54" t="s">
        <v>103</v>
      </c>
      <c r="B54" t="s">
        <v>10</v>
      </c>
      <c r="C54" t="s">
        <v>45</v>
      </c>
      <c r="D54" t="s">
        <v>42</v>
      </c>
      <c r="E54" s="2">
        <v>45669</v>
      </c>
      <c r="F54" t="s">
        <v>64</v>
      </c>
      <c r="G54">
        <v>7</v>
      </c>
      <c r="H54" t="s">
        <v>57</v>
      </c>
      <c r="I5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5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45673</v>
      </c>
      <c r="K54" s="2">
        <f>IFERROR(IF(_xlfn.MINIFS(tblActivities[Activity_Date],tblActivities[Activity_Type],"Hired",tblActivities[Candidate_ID],Data_Model[[#This Row],[Candidate_ID]])=0,"",_xlfn.MINIFS(tblActivities[Activity_Date],tblActivities[Activity_Type],"Hired",tblActivities[Candidate_ID],Data_Model[[#This Row],[Candidate_ID]])),"")</f>
        <v>45674</v>
      </c>
      <c r="L54">
        <f>IF(Data_Model[[#This Row],[Submission_Date]]="",0,1)</f>
        <v>0</v>
      </c>
      <c r="M54">
        <f>IF(Data_Model[[#This Row],[Interview_Date]]="",0,1)</f>
        <v>1</v>
      </c>
      <c r="N54">
        <f>IF(Data_Model[[#This Row],[Hire_Date]]="",0,1)</f>
        <v>1</v>
      </c>
      <c r="O54" t="str">
        <f>IF(OR(Data_Model[ [#This Row],[Submission_Date] ]= "",Data_Model[[#This Row],[Resume_Date]] = "",Data_Model[[#This Row],[Submission_Date]] &lt; Data_Model[[#This Row],[Resume_Date]]), "",Data_Model[[#This Row],[Submission_Date]] - Data_Model[[#This Row],[Resume_Date]])</f>
        <v/>
      </c>
      <c r="P54" t="str">
        <f>IF(OR(Data_Model[[#This Row],[Submission_Date]]="",Data_Model[[#This Row],[Interview_Date]]="",Data_Model[[#This Row],[Interview_Date]] &lt; Data_Model[[#This Row],[Submission_Date]]),"",Data_Model[[#This Row],[Interview_Date]]-Data_Model[[#This Row],[Submission_Date]])</f>
        <v/>
      </c>
      <c r="Q54" s="4" t="str">
        <f>IF(OR(Data_Model[[#This Row],[Submission_Date]]="",Data_Model[[#This Row],[Hire_Date]]="",Data_Model[[#This Row],[Hire_Date]] &lt; Data_Model[[#This Row],[Submission_Date]]),"",Data_Model[[#This Row],[Hire_Date]]-Data_Model[[#This Row],[Submission_Date]])</f>
        <v/>
      </c>
      <c r="R54" s="4">
        <f>IF(AND(Data_Model[[#This Row],[Submission_Flag]]=1,Data_Model[[#This Row],[Hire_Flag]]=1,Data_Model[[#This Row],[Hire_Date]]&lt;Data_Model[[#This Row],[Submission_Date]]),1,0)</f>
        <v>0</v>
      </c>
    </row>
    <row r="55" spans="1:18" x14ac:dyDescent="0.25">
      <c r="A55" t="s">
        <v>104</v>
      </c>
      <c r="B55" t="s">
        <v>20</v>
      </c>
      <c r="C55" t="s">
        <v>33</v>
      </c>
      <c r="D55" t="s">
        <v>50</v>
      </c>
      <c r="E55" s="2">
        <v>45659</v>
      </c>
      <c r="F55" t="s">
        <v>43</v>
      </c>
      <c r="G55">
        <v>2</v>
      </c>
      <c r="H55" t="s">
        <v>47</v>
      </c>
      <c r="I5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5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45674</v>
      </c>
      <c r="K55" s="2">
        <f>IFERROR(IF(_xlfn.MINIFS(tblActivities[Activity_Date],tblActivities[Activity_Type],"Hired",tblActivities[Candidate_ID],Data_Model[[#This Row],[Candidate_ID]])=0,"",_xlfn.MINIFS(tblActivities[Activity_Date],tblActivities[Activity_Type],"Hired",tblActivities[Candidate_ID],Data_Model[[#This Row],[Candidate_ID]])),"")</f>
        <v>45668</v>
      </c>
      <c r="L55">
        <f>IF(Data_Model[[#This Row],[Submission_Date]]="",0,1)</f>
        <v>0</v>
      </c>
      <c r="M55">
        <f>IF(Data_Model[[#This Row],[Interview_Date]]="",0,1)</f>
        <v>1</v>
      </c>
      <c r="N55">
        <f>IF(Data_Model[[#This Row],[Hire_Date]]="",0,1)</f>
        <v>1</v>
      </c>
      <c r="O55" t="str">
        <f>IF(OR(Data_Model[ [#This Row],[Submission_Date] ]= "",Data_Model[[#This Row],[Resume_Date]] = "",Data_Model[[#This Row],[Submission_Date]] &lt; Data_Model[[#This Row],[Resume_Date]]), "",Data_Model[[#This Row],[Submission_Date]] - Data_Model[[#This Row],[Resume_Date]])</f>
        <v/>
      </c>
      <c r="P55" t="str">
        <f>IF(OR(Data_Model[[#This Row],[Submission_Date]]="",Data_Model[[#This Row],[Interview_Date]]="",Data_Model[[#This Row],[Interview_Date]] &lt; Data_Model[[#This Row],[Submission_Date]]),"",Data_Model[[#This Row],[Interview_Date]]-Data_Model[[#This Row],[Submission_Date]])</f>
        <v/>
      </c>
      <c r="Q55" s="4" t="str">
        <f>IF(OR(Data_Model[[#This Row],[Submission_Date]]="",Data_Model[[#This Row],[Hire_Date]]="",Data_Model[[#This Row],[Hire_Date]] &lt; Data_Model[[#This Row],[Submission_Date]]),"",Data_Model[[#This Row],[Hire_Date]]-Data_Model[[#This Row],[Submission_Date]])</f>
        <v/>
      </c>
      <c r="R55" s="4">
        <f>IF(AND(Data_Model[[#This Row],[Submission_Flag]]=1,Data_Model[[#This Row],[Hire_Flag]]=1,Data_Model[[#This Row],[Hire_Date]]&lt;Data_Model[[#This Row],[Submission_Date]]),1,0)</f>
        <v>0</v>
      </c>
    </row>
    <row r="56" spans="1:18" x14ac:dyDescent="0.25">
      <c r="A56" t="s">
        <v>105</v>
      </c>
      <c r="B56" t="s">
        <v>24</v>
      </c>
      <c r="C56" t="s">
        <v>33</v>
      </c>
      <c r="D56" t="s">
        <v>34</v>
      </c>
      <c r="E56" s="2">
        <v>45673</v>
      </c>
      <c r="F56" t="s">
        <v>62</v>
      </c>
      <c r="G56">
        <v>8</v>
      </c>
      <c r="H56" t="s">
        <v>57</v>
      </c>
      <c r="I5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5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45682</v>
      </c>
      <c r="K56" s="2" t="str">
        <f>IFERROR(IF(_xlfn.MINIFS(tblActivities[Activity_Date],tblActivities[Activity_Type],"Hired",tblActivities[Candidate_ID],Data_Model[[#This Row],[Candidate_ID]])=0,"",_xlfn.MINIFS(tblActivities[Activity_Date],tblActivities[Activity_Type],"Hired",tblActivities[Candidate_ID],Data_Model[[#This Row],[Candidate_ID]])),"")</f>
        <v/>
      </c>
      <c r="L56">
        <f>IF(Data_Model[[#This Row],[Submission_Date]]="",0,1)</f>
        <v>1</v>
      </c>
      <c r="M56">
        <f>IF(Data_Model[[#This Row],[Interview_Date]]="",0,1)</f>
        <v>1</v>
      </c>
      <c r="N56">
        <f>IF(Data_Model[[#This Row],[Hire_Date]]="",0,1)</f>
        <v>0</v>
      </c>
      <c r="O56">
        <f>IF(OR(Data_Model[ [#This Row],[Submission_Date] ]= "",Data_Model[[#This Row],[Resume_Date]] = "",Data_Model[[#This Row],[Submission_Date]] &lt; Data_Model[[#This Row],[Resume_Date]]), "",Data_Model[[#This Row],[Submission_Date]] - Data_Model[[#This Row],[Resume_Date]])</f>
        <v>7</v>
      </c>
      <c r="P56">
        <f>IF(OR(Data_Model[[#This Row],[Submission_Date]]="",Data_Model[[#This Row],[Interview_Date]]="",Data_Model[[#This Row],[Interview_Date]] &lt; Data_Model[[#This Row],[Submission_Date]]),"",Data_Model[[#This Row],[Interview_Date]]-Data_Model[[#This Row],[Submission_Date]])</f>
        <v>2</v>
      </c>
      <c r="Q56" s="4" t="str">
        <f>IF(OR(Data_Model[[#This Row],[Submission_Date]]="",Data_Model[[#This Row],[Hire_Date]]="",Data_Model[[#This Row],[Hire_Date]] &lt; Data_Model[[#This Row],[Submission_Date]]),"",Data_Model[[#This Row],[Hire_Date]]-Data_Model[[#This Row],[Submission_Date]])</f>
        <v/>
      </c>
      <c r="R56" s="4">
        <f>IF(AND(Data_Model[[#This Row],[Submission_Flag]]=1,Data_Model[[#This Row],[Hire_Flag]]=1,Data_Model[[#This Row],[Hire_Date]]&lt;Data_Model[[#This Row],[Submission_Date]]),1,0)</f>
        <v>0</v>
      </c>
    </row>
    <row r="57" spans="1:18" x14ac:dyDescent="0.25">
      <c r="A57" t="s">
        <v>106</v>
      </c>
      <c r="B57" t="s">
        <v>10</v>
      </c>
      <c r="C57" t="s">
        <v>45</v>
      </c>
      <c r="D57" t="s">
        <v>50</v>
      </c>
      <c r="E57" s="2">
        <v>45667</v>
      </c>
      <c r="F57" t="s">
        <v>62</v>
      </c>
      <c r="G57">
        <v>6</v>
      </c>
      <c r="H57" t="s">
        <v>60</v>
      </c>
      <c r="I5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45690</v>
      </c>
      <c r="J5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57" s="2">
        <f>IFERROR(IF(_xlfn.MINIFS(tblActivities[Activity_Date],tblActivities[Activity_Type],"Hired",tblActivities[Candidate_ID],Data_Model[[#This Row],[Candidate_ID]])=0,"",_xlfn.MINIFS(tblActivities[Activity_Date],tblActivities[Activity_Type],"Hired",tblActivities[Candidate_ID],Data_Model[[#This Row],[Candidate_ID]])),"")</f>
        <v>45682</v>
      </c>
      <c r="L57">
        <f>IF(Data_Model[[#This Row],[Submission_Date]]="",0,1)</f>
        <v>1</v>
      </c>
      <c r="M57">
        <f>IF(Data_Model[[#This Row],[Interview_Date]]="",0,1)</f>
        <v>0</v>
      </c>
      <c r="N57">
        <f>IF(Data_Model[[#This Row],[Hire_Date]]="",0,1)</f>
        <v>1</v>
      </c>
      <c r="O57">
        <f>IF(OR(Data_Model[ [#This Row],[Submission_Date] ]= "",Data_Model[[#This Row],[Resume_Date]] = "",Data_Model[[#This Row],[Submission_Date]] &lt; Data_Model[[#This Row],[Resume_Date]]), "",Data_Model[[#This Row],[Submission_Date]] - Data_Model[[#This Row],[Resume_Date]])</f>
        <v>23</v>
      </c>
      <c r="P57" t="str">
        <f>IF(OR(Data_Model[[#This Row],[Submission_Date]]="",Data_Model[[#This Row],[Interview_Date]]="",Data_Model[[#This Row],[Interview_Date]] &lt; Data_Model[[#This Row],[Submission_Date]]),"",Data_Model[[#This Row],[Interview_Date]]-Data_Model[[#This Row],[Submission_Date]])</f>
        <v/>
      </c>
      <c r="Q57" s="4" t="str">
        <f>IF(OR(Data_Model[[#This Row],[Submission_Date]]="",Data_Model[[#This Row],[Hire_Date]]="",Data_Model[[#This Row],[Hire_Date]] &lt; Data_Model[[#This Row],[Submission_Date]]),"",Data_Model[[#This Row],[Hire_Date]]-Data_Model[[#This Row],[Submission_Date]])</f>
        <v/>
      </c>
      <c r="R57" s="4">
        <f>IF(AND(Data_Model[[#This Row],[Submission_Flag]]=1,Data_Model[[#This Row],[Hire_Flag]]=1,Data_Model[[#This Row],[Hire_Date]]&lt;Data_Model[[#This Row],[Submission_Date]]),1,0)</f>
        <v>1</v>
      </c>
    </row>
    <row r="58" spans="1:18" x14ac:dyDescent="0.25">
      <c r="A58" t="s">
        <v>107</v>
      </c>
      <c r="B58" t="s">
        <v>22</v>
      </c>
      <c r="C58" t="s">
        <v>45</v>
      </c>
      <c r="D58" t="s">
        <v>52</v>
      </c>
      <c r="E58" s="2">
        <v>45672</v>
      </c>
      <c r="F58" t="s">
        <v>62</v>
      </c>
      <c r="G58">
        <v>2</v>
      </c>
      <c r="H58" t="s">
        <v>57</v>
      </c>
      <c r="I5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5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58" s="2" t="str">
        <f>IFERROR(IF(_xlfn.MINIFS(tblActivities[Activity_Date],tblActivities[Activity_Type],"Hired",tblActivities[Candidate_ID],Data_Model[[#This Row],[Candidate_ID]])=0,"",_xlfn.MINIFS(tblActivities[Activity_Date],tblActivities[Activity_Type],"Hired",tblActivities[Candidate_ID],Data_Model[[#This Row],[Candidate_ID]])),"")</f>
        <v/>
      </c>
      <c r="L58">
        <f>IF(Data_Model[[#This Row],[Submission_Date]]="",0,1)</f>
        <v>0</v>
      </c>
      <c r="M58">
        <f>IF(Data_Model[[#This Row],[Interview_Date]]="",0,1)</f>
        <v>0</v>
      </c>
      <c r="N58">
        <f>IF(Data_Model[[#This Row],[Hire_Date]]="",0,1)</f>
        <v>0</v>
      </c>
      <c r="O58" t="str">
        <f>IF(OR(Data_Model[ [#This Row],[Submission_Date] ]= "",Data_Model[[#This Row],[Resume_Date]] = "",Data_Model[[#This Row],[Submission_Date]] &lt; Data_Model[[#This Row],[Resume_Date]]), "",Data_Model[[#This Row],[Submission_Date]] - Data_Model[[#This Row],[Resume_Date]])</f>
        <v/>
      </c>
      <c r="P58" t="str">
        <f>IF(OR(Data_Model[[#This Row],[Submission_Date]]="",Data_Model[[#This Row],[Interview_Date]]="",Data_Model[[#This Row],[Interview_Date]] &lt; Data_Model[[#This Row],[Submission_Date]]),"",Data_Model[[#This Row],[Interview_Date]]-Data_Model[[#This Row],[Submission_Date]])</f>
        <v/>
      </c>
      <c r="Q58" s="4" t="str">
        <f>IF(OR(Data_Model[[#This Row],[Submission_Date]]="",Data_Model[[#This Row],[Hire_Date]]="",Data_Model[[#This Row],[Hire_Date]] &lt; Data_Model[[#This Row],[Submission_Date]]),"",Data_Model[[#This Row],[Hire_Date]]-Data_Model[[#This Row],[Submission_Date]])</f>
        <v/>
      </c>
      <c r="R58" s="4">
        <f>IF(AND(Data_Model[[#This Row],[Submission_Flag]]=1,Data_Model[[#This Row],[Hire_Flag]]=1,Data_Model[[#This Row],[Hire_Date]]&lt;Data_Model[[#This Row],[Submission_Date]]),1,0)</f>
        <v>0</v>
      </c>
    </row>
    <row r="59" spans="1:18" x14ac:dyDescent="0.25">
      <c r="A59" t="s">
        <v>108</v>
      </c>
      <c r="B59" t="s">
        <v>17</v>
      </c>
      <c r="C59" t="s">
        <v>49</v>
      </c>
      <c r="D59" t="s">
        <v>39</v>
      </c>
      <c r="E59" s="2">
        <v>45665</v>
      </c>
      <c r="F59" t="s">
        <v>46</v>
      </c>
      <c r="G59">
        <v>4</v>
      </c>
      <c r="H59" t="s">
        <v>57</v>
      </c>
      <c r="I5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5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45684</v>
      </c>
      <c r="K59" s="2">
        <f>IFERROR(IF(_xlfn.MINIFS(tblActivities[Activity_Date],tblActivities[Activity_Type],"Hired",tblActivities[Candidate_ID],Data_Model[[#This Row],[Candidate_ID]])=0,"",_xlfn.MINIFS(tblActivities[Activity_Date],tblActivities[Activity_Type],"Hired",tblActivities[Candidate_ID],Data_Model[[#This Row],[Candidate_ID]])),"")</f>
        <v>45678</v>
      </c>
      <c r="L59">
        <f>IF(Data_Model[[#This Row],[Submission_Date]]="",0,1)</f>
        <v>1</v>
      </c>
      <c r="M59">
        <f>IF(Data_Model[[#This Row],[Interview_Date]]="",0,1)</f>
        <v>1</v>
      </c>
      <c r="N59">
        <f>IF(Data_Model[[#This Row],[Hire_Date]]="",0,1)</f>
        <v>1</v>
      </c>
      <c r="O59">
        <f>IF(OR(Data_Model[ [#This Row],[Submission_Date] ]= "",Data_Model[[#This Row],[Resume_Date]] = "",Data_Model[[#This Row],[Submission_Date]] &lt; Data_Model[[#This Row],[Resume_Date]]), "",Data_Model[[#This Row],[Submission_Date]] - Data_Model[[#This Row],[Resume_Date]])</f>
        <v>12</v>
      </c>
      <c r="P59">
        <f>IF(OR(Data_Model[[#This Row],[Submission_Date]]="",Data_Model[[#This Row],[Interview_Date]]="",Data_Model[[#This Row],[Interview_Date]] &lt; Data_Model[[#This Row],[Submission_Date]]),"",Data_Model[[#This Row],[Interview_Date]]-Data_Model[[#This Row],[Submission_Date]])</f>
        <v>7</v>
      </c>
      <c r="Q59" s="4">
        <f>IF(OR(Data_Model[[#This Row],[Submission_Date]]="",Data_Model[[#This Row],[Hire_Date]]="",Data_Model[[#This Row],[Hire_Date]] &lt; Data_Model[[#This Row],[Submission_Date]]),"",Data_Model[[#This Row],[Hire_Date]]-Data_Model[[#This Row],[Submission_Date]])</f>
        <v>1</v>
      </c>
      <c r="R59" s="4">
        <f>IF(AND(Data_Model[[#This Row],[Submission_Flag]]=1,Data_Model[[#This Row],[Hire_Flag]]=1,Data_Model[[#This Row],[Hire_Date]]&lt;Data_Model[[#This Row],[Submission_Date]]),1,0)</f>
        <v>0</v>
      </c>
    </row>
    <row r="60" spans="1:18" x14ac:dyDescent="0.25">
      <c r="A60" t="s">
        <v>109</v>
      </c>
      <c r="B60" t="s">
        <v>20</v>
      </c>
      <c r="C60" t="s">
        <v>49</v>
      </c>
      <c r="D60" t="s">
        <v>39</v>
      </c>
      <c r="E60" s="2">
        <v>45665</v>
      </c>
      <c r="F60" t="s">
        <v>35</v>
      </c>
      <c r="G60">
        <v>1</v>
      </c>
      <c r="H60" t="s">
        <v>36</v>
      </c>
      <c r="I6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45686</v>
      </c>
      <c r="J6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45682</v>
      </c>
      <c r="K60" s="2">
        <f>IFERROR(IF(_xlfn.MINIFS(tblActivities[Activity_Date],tblActivities[Activity_Type],"Hired",tblActivities[Candidate_ID],Data_Model[[#This Row],[Candidate_ID]])=0,"",_xlfn.MINIFS(tblActivities[Activity_Date],tblActivities[Activity_Type],"Hired",tblActivities[Candidate_ID],Data_Model[[#This Row],[Candidate_ID]])),"")</f>
        <v>45687</v>
      </c>
      <c r="L60">
        <f>IF(Data_Model[[#This Row],[Submission_Date]]="",0,1)</f>
        <v>1</v>
      </c>
      <c r="M60">
        <f>IF(Data_Model[[#This Row],[Interview_Date]]="",0,1)</f>
        <v>1</v>
      </c>
      <c r="N60">
        <f>IF(Data_Model[[#This Row],[Hire_Date]]="",0,1)</f>
        <v>1</v>
      </c>
      <c r="O60">
        <f>IF(OR(Data_Model[ [#This Row],[Submission_Date] ]= "",Data_Model[[#This Row],[Resume_Date]] = "",Data_Model[[#This Row],[Submission_Date]] &lt; Data_Model[[#This Row],[Resume_Date]]), "",Data_Model[[#This Row],[Submission_Date]] - Data_Model[[#This Row],[Resume_Date]])</f>
        <v>21</v>
      </c>
      <c r="P60" t="str">
        <f>IF(OR(Data_Model[[#This Row],[Submission_Date]]="",Data_Model[[#This Row],[Interview_Date]]="",Data_Model[[#This Row],[Interview_Date]] &lt; Data_Model[[#This Row],[Submission_Date]]),"",Data_Model[[#This Row],[Interview_Date]]-Data_Model[[#This Row],[Submission_Date]])</f>
        <v/>
      </c>
      <c r="Q60" s="4">
        <f>IF(OR(Data_Model[[#This Row],[Submission_Date]]="",Data_Model[[#This Row],[Hire_Date]]="",Data_Model[[#This Row],[Hire_Date]] &lt; Data_Model[[#This Row],[Submission_Date]]),"",Data_Model[[#This Row],[Hire_Date]]-Data_Model[[#This Row],[Submission_Date]])</f>
        <v>1</v>
      </c>
      <c r="R60" s="4">
        <f>IF(AND(Data_Model[[#This Row],[Submission_Flag]]=1,Data_Model[[#This Row],[Hire_Flag]]=1,Data_Model[[#This Row],[Hire_Date]]&lt;Data_Model[[#This Row],[Submission_Date]]),1,0)</f>
        <v>0</v>
      </c>
    </row>
    <row r="61" spans="1:18" x14ac:dyDescent="0.25">
      <c r="A61" t="s">
        <v>110</v>
      </c>
      <c r="B61" t="s">
        <v>22</v>
      </c>
      <c r="C61" t="s">
        <v>38</v>
      </c>
      <c r="D61" t="s">
        <v>34</v>
      </c>
      <c r="E61" s="2">
        <v>45660</v>
      </c>
      <c r="F61" t="s">
        <v>40</v>
      </c>
      <c r="G61">
        <v>5</v>
      </c>
      <c r="H61" t="s">
        <v>60</v>
      </c>
      <c r="I6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45686</v>
      </c>
      <c r="J6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61" s="2">
        <f>IFERROR(IF(_xlfn.MINIFS(tblActivities[Activity_Date],tblActivities[Activity_Type],"Hired",tblActivities[Candidate_ID],Data_Model[[#This Row],[Candidate_ID]])=0,"",_xlfn.MINIFS(tblActivities[Activity_Date],tblActivities[Activity_Type],"Hired",tblActivities[Candidate_ID],Data_Model[[#This Row],[Candidate_ID]])),"")</f>
        <v>45679</v>
      </c>
      <c r="L61">
        <f>IF(Data_Model[[#This Row],[Submission_Date]]="",0,1)</f>
        <v>1</v>
      </c>
      <c r="M61">
        <f>IF(Data_Model[[#This Row],[Interview_Date]]="",0,1)</f>
        <v>0</v>
      </c>
      <c r="N61">
        <f>IF(Data_Model[[#This Row],[Hire_Date]]="",0,1)</f>
        <v>1</v>
      </c>
      <c r="O61">
        <f>IF(OR(Data_Model[ [#This Row],[Submission_Date] ]= "",Data_Model[[#This Row],[Resume_Date]] = "",Data_Model[[#This Row],[Submission_Date]] &lt; Data_Model[[#This Row],[Resume_Date]]), "",Data_Model[[#This Row],[Submission_Date]] - Data_Model[[#This Row],[Resume_Date]])</f>
        <v>26</v>
      </c>
      <c r="P61" t="str">
        <f>IF(OR(Data_Model[[#This Row],[Submission_Date]]="",Data_Model[[#This Row],[Interview_Date]]="",Data_Model[[#This Row],[Interview_Date]] &lt; Data_Model[[#This Row],[Submission_Date]]),"",Data_Model[[#This Row],[Interview_Date]]-Data_Model[[#This Row],[Submission_Date]])</f>
        <v/>
      </c>
      <c r="Q61" s="4" t="str">
        <f>IF(OR(Data_Model[[#This Row],[Submission_Date]]="",Data_Model[[#This Row],[Hire_Date]]="",Data_Model[[#This Row],[Hire_Date]] &lt; Data_Model[[#This Row],[Submission_Date]]),"",Data_Model[[#This Row],[Hire_Date]]-Data_Model[[#This Row],[Submission_Date]])</f>
        <v/>
      </c>
      <c r="R61" s="4">
        <f>IF(AND(Data_Model[[#This Row],[Submission_Flag]]=1,Data_Model[[#This Row],[Hire_Flag]]=1,Data_Model[[#This Row],[Hire_Date]]&lt;Data_Model[[#This Row],[Submission_Date]]),1,0)</f>
        <v>1</v>
      </c>
    </row>
    <row r="62" spans="1:18" x14ac:dyDescent="0.25">
      <c r="A62" t="s">
        <v>111</v>
      </c>
      <c r="B62" t="s">
        <v>22</v>
      </c>
      <c r="C62" t="s">
        <v>38</v>
      </c>
      <c r="D62" t="s">
        <v>52</v>
      </c>
      <c r="E62" s="2">
        <v>45677</v>
      </c>
      <c r="F62" t="s">
        <v>64</v>
      </c>
      <c r="G62">
        <v>8</v>
      </c>
      <c r="H62" t="s">
        <v>47</v>
      </c>
      <c r="I6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45663</v>
      </c>
      <c r="J6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45666</v>
      </c>
      <c r="K62" s="2" t="str">
        <f>IFERROR(IF(_xlfn.MINIFS(tblActivities[Activity_Date],tblActivities[Activity_Type],"Hired",tblActivities[Candidate_ID],Data_Model[[#This Row],[Candidate_ID]])=0,"",_xlfn.MINIFS(tblActivities[Activity_Date],tblActivities[Activity_Type],"Hired",tblActivities[Candidate_ID],Data_Model[[#This Row],[Candidate_ID]])),"")</f>
        <v/>
      </c>
      <c r="L62">
        <f>IF(Data_Model[[#This Row],[Submission_Date]]="",0,1)</f>
        <v>1</v>
      </c>
      <c r="M62">
        <f>IF(Data_Model[[#This Row],[Interview_Date]]="",0,1)</f>
        <v>1</v>
      </c>
      <c r="N62">
        <f>IF(Data_Model[[#This Row],[Hire_Date]]="",0,1)</f>
        <v>0</v>
      </c>
      <c r="O62" t="str">
        <f>IF(OR(Data_Model[ [#This Row],[Submission_Date] ]= "",Data_Model[[#This Row],[Resume_Date]] = "",Data_Model[[#This Row],[Submission_Date]] &lt; Data_Model[[#This Row],[Resume_Date]]), "",Data_Model[[#This Row],[Submission_Date]] - Data_Model[[#This Row],[Resume_Date]])</f>
        <v/>
      </c>
      <c r="P62">
        <f>IF(OR(Data_Model[[#This Row],[Submission_Date]]="",Data_Model[[#This Row],[Interview_Date]]="",Data_Model[[#This Row],[Interview_Date]] &lt; Data_Model[[#This Row],[Submission_Date]]),"",Data_Model[[#This Row],[Interview_Date]]-Data_Model[[#This Row],[Submission_Date]])</f>
        <v>3</v>
      </c>
      <c r="Q62" s="4" t="str">
        <f>IF(OR(Data_Model[[#This Row],[Submission_Date]]="",Data_Model[[#This Row],[Hire_Date]]="",Data_Model[[#This Row],[Hire_Date]] &lt; Data_Model[[#This Row],[Submission_Date]]),"",Data_Model[[#This Row],[Hire_Date]]-Data_Model[[#This Row],[Submission_Date]])</f>
        <v/>
      </c>
      <c r="R62" s="4">
        <f>IF(AND(Data_Model[[#This Row],[Submission_Flag]]=1,Data_Model[[#This Row],[Hire_Flag]]=1,Data_Model[[#This Row],[Hire_Date]]&lt;Data_Model[[#This Row],[Submission_Date]]),1,0)</f>
        <v>0</v>
      </c>
    </row>
    <row r="63" spans="1:18" x14ac:dyDescent="0.25">
      <c r="A63" t="s">
        <v>112</v>
      </c>
      <c r="B63" t="s">
        <v>23</v>
      </c>
      <c r="C63" t="s">
        <v>45</v>
      </c>
      <c r="D63" t="s">
        <v>52</v>
      </c>
      <c r="E63" s="2">
        <v>45668</v>
      </c>
      <c r="F63" t="s">
        <v>40</v>
      </c>
      <c r="G63">
        <v>5</v>
      </c>
      <c r="H63" t="s">
        <v>47</v>
      </c>
      <c r="I6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6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45666</v>
      </c>
      <c r="K63" s="2" t="str">
        <f>IFERROR(IF(_xlfn.MINIFS(tblActivities[Activity_Date],tblActivities[Activity_Type],"Hired",tblActivities[Candidate_ID],Data_Model[[#This Row],[Candidate_ID]])=0,"",_xlfn.MINIFS(tblActivities[Activity_Date],tblActivities[Activity_Type],"Hired",tblActivities[Candidate_ID],Data_Model[[#This Row],[Candidate_ID]])),"")</f>
        <v/>
      </c>
      <c r="L63">
        <f>IF(Data_Model[[#This Row],[Submission_Date]]="",0,1)</f>
        <v>0</v>
      </c>
      <c r="M63">
        <f>IF(Data_Model[[#This Row],[Interview_Date]]="",0,1)</f>
        <v>1</v>
      </c>
      <c r="N63">
        <f>IF(Data_Model[[#This Row],[Hire_Date]]="",0,1)</f>
        <v>0</v>
      </c>
      <c r="O63" t="str">
        <f>IF(OR(Data_Model[ [#This Row],[Submission_Date] ]= "",Data_Model[[#This Row],[Resume_Date]] = "",Data_Model[[#This Row],[Submission_Date]] &lt; Data_Model[[#This Row],[Resume_Date]]), "",Data_Model[[#This Row],[Submission_Date]] - Data_Model[[#This Row],[Resume_Date]])</f>
        <v/>
      </c>
      <c r="P63" t="str">
        <f>IF(OR(Data_Model[[#This Row],[Submission_Date]]="",Data_Model[[#This Row],[Interview_Date]]="",Data_Model[[#This Row],[Interview_Date]] &lt; Data_Model[[#This Row],[Submission_Date]]),"",Data_Model[[#This Row],[Interview_Date]]-Data_Model[[#This Row],[Submission_Date]])</f>
        <v/>
      </c>
      <c r="Q63" s="4" t="str">
        <f>IF(OR(Data_Model[[#This Row],[Submission_Date]]="",Data_Model[[#This Row],[Hire_Date]]="",Data_Model[[#This Row],[Hire_Date]] &lt; Data_Model[[#This Row],[Submission_Date]]),"",Data_Model[[#This Row],[Hire_Date]]-Data_Model[[#This Row],[Submission_Date]])</f>
        <v/>
      </c>
      <c r="R63" s="4">
        <f>IF(AND(Data_Model[[#This Row],[Submission_Flag]]=1,Data_Model[[#This Row],[Hire_Flag]]=1,Data_Model[[#This Row],[Hire_Date]]&lt;Data_Model[[#This Row],[Submission_Date]]),1,0)</f>
        <v>0</v>
      </c>
    </row>
    <row r="64" spans="1:18" x14ac:dyDescent="0.25">
      <c r="A64" t="s">
        <v>113</v>
      </c>
      <c r="B64" t="s">
        <v>24</v>
      </c>
      <c r="C64" t="s">
        <v>45</v>
      </c>
      <c r="D64" t="s">
        <v>34</v>
      </c>
      <c r="E64" s="2">
        <v>45658</v>
      </c>
      <c r="F64" t="s">
        <v>35</v>
      </c>
      <c r="G64">
        <v>5</v>
      </c>
      <c r="H64" t="s">
        <v>36</v>
      </c>
      <c r="I6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64"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64" s="2" t="str">
        <f>IFERROR(IF(_xlfn.MINIFS(tblActivities[Activity_Date],tblActivities[Activity_Type],"Hired",tblActivities[Candidate_ID],Data_Model[[#This Row],[Candidate_ID]])=0,"",_xlfn.MINIFS(tblActivities[Activity_Date],tblActivities[Activity_Type],"Hired",tblActivities[Candidate_ID],Data_Model[[#This Row],[Candidate_ID]])),"")</f>
        <v/>
      </c>
      <c r="L64">
        <f>IF(Data_Model[[#This Row],[Submission_Date]]="",0,1)</f>
        <v>0</v>
      </c>
      <c r="M64">
        <f>IF(Data_Model[[#This Row],[Interview_Date]]="",0,1)</f>
        <v>0</v>
      </c>
      <c r="N64">
        <f>IF(Data_Model[[#This Row],[Hire_Date]]="",0,1)</f>
        <v>0</v>
      </c>
      <c r="O64" t="str">
        <f>IF(OR(Data_Model[ [#This Row],[Submission_Date] ]= "",Data_Model[[#This Row],[Resume_Date]] = "",Data_Model[[#This Row],[Submission_Date]] &lt; Data_Model[[#This Row],[Resume_Date]]), "",Data_Model[[#This Row],[Submission_Date]] - Data_Model[[#This Row],[Resume_Date]])</f>
        <v/>
      </c>
      <c r="P64" t="str">
        <f>IF(OR(Data_Model[[#This Row],[Submission_Date]]="",Data_Model[[#This Row],[Interview_Date]]="",Data_Model[[#This Row],[Interview_Date]] &lt; Data_Model[[#This Row],[Submission_Date]]),"",Data_Model[[#This Row],[Interview_Date]]-Data_Model[[#This Row],[Submission_Date]])</f>
        <v/>
      </c>
      <c r="Q64" s="4" t="str">
        <f>IF(OR(Data_Model[[#This Row],[Submission_Date]]="",Data_Model[[#This Row],[Hire_Date]]="",Data_Model[[#This Row],[Hire_Date]] &lt; Data_Model[[#This Row],[Submission_Date]]),"",Data_Model[[#This Row],[Hire_Date]]-Data_Model[[#This Row],[Submission_Date]])</f>
        <v/>
      </c>
      <c r="R64" s="4">
        <f>IF(AND(Data_Model[[#This Row],[Submission_Flag]]=1,Data_Model[[#This Row],[Hire_Flag]]=1,Data_Model[[#This Row],[Hire_Date]]&lt;Data_Model[[#This Row],[Submission_Date]]),1,0)</f>
        <v>0</v>
      </c>
    </row>
    <row r="65" spans="1:18" x14ac:dyDescent="0.25">
      <c r="A65" t="s">
        <v>114</v>
      </c>
      <c r="B65" t="s">
        <v>10</v>
      </c>
      <c r="C65" t="s">
        <v>33</v>
      </c>
      <c r="D65" t="s">
        <v>39</v>
      </c>
      <c r="E65" s="2">
        <v>45671</v>
      </c>
      <c r="F65" t="s">
        <v>46</v>
      </c>
      <c r="G65">
        <v>2</v>
      </c>
      <c r="H65" t="s">
        <v>60</v>
      </c>
      <c r="I6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6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65" s="2">
        <f>IFERROR(IF(_xlfn.MINIFS(tblActivities[Activity_Date],tblActivities[Activity_Type],"Hired",tblActivities[Candidate_ID],Data_Model[[#This Row],[Candidate_ID]])=0,"",_xlfn.MINIFS(tblActivities[Activity_Date],tblActivities[Activity_Type],"Hired",tblActivities[Candidate_ID],Data_Model[[#This Row],[Candidate_ID]])),"")</f>
        <v>45676</v>
      </c>
      <c r="L65">
        <f>IF(Data_Model[[#This Row],[Submission_Date]]="",0,1)</f>
        <v>0</v>
      </c>
      <c r="M65">
        <f>IF(Data_Model[[#This Row],[Interview_Date]]="",0,1)</f>
        <v>0</v>
      </c>
      <c r="N65">
        <f>IF(Data_Model[[#This Row],[Hire_Date]]="",0,1)</f>
        <v>1</v>
      </c>
      <c r="O65" t="str">
        <f>IF(OR(Data_Model[ [#This Row],[Submission_Date] ]= "",Data_Model[[#This Row],[Resume_Date]] = "",Data_Model[[#This Row],[Submission_Date]] &lt; Data_Model[[#This Row],[Resume_Date]]), "",Data_Model[[#This Row],[Submission_Date]] - Data_Model[[#This Row],[Resume_Date]])</f>
        <v/>
      </c>
      <c r="P65" t="str">
        <f>IF(OR(Data_Model[[#This Row],[Submission_Date]]="",Data_Model[[#This Row],[Interview_Date]]="",Data_Model[[#This Row],[Interview_Date]] &lt; Data_Model[[#This Row],[Submission_Date]]),"",Data_Model[[#This Row],[Interview_Date]]-Data_Model[[#This Row],[Submission_Date]])</f>
        <v/>
      </c>
      <c r="Q65" s="4" t="str">
        <f>IF(OR(Data_Model[[#This Row],[Submission_Date]]="",Data_Model[[#This Row],[Hire_Date]]="",Data_Model[[#This Row],[Hire_Date]] &lt; Data_Model[[#This Row],[Submission_Date]]),"",Data_Model[[#This Row],[Hire_Date]]-Data_Model[[#This Row],[Submission_Date]])</f>
        <v/>
      </c>
      <c r="R65" s="4">
        <f>IF(AND(Data_Model[[#This Row],[Submission_Flag]]=1,Data_Model[[#This Row],[Hire_Flag]]=1,Data_Model[[#This Row],[Hire_Date]]&lt;Data_Model[[#This Row],[Submission_Date]]),1,0)</f>
        <v>0</v>
      </c>
    </row>
    <row r="66" spans="1:18" x14ac:dyDescent="0.25">
      <c r="A66" t="s">
        <v>115</v>
      </c>
      <c r="B66" t="s">
        <v>22</v>
      </c>
      <c r="C66" t="s">
        <v>45</v>
      </c>
      <c r="D66" t="s">
        <v>42</v>
      </c>
      <c r="E66" s="2">
        <v>45672</v>
      </c>
      <c r="F66" t="s">
        <v>62</v>
      </c>
      <c r="G66">
        <v>1</v>
      </c>
      <c r="H66" t="s">
        <v>60</v>
      </c>
      <c r="I6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6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66" s="2">
        <f>IFERROR(IF(_xlfn.MINIFS(tblActivities[Activity_Date],tblActivities[Activity_Type],"Hired",tblActivities[Candidate_ID],Data_Model[[#This Row],[Candidate_ID]])=0,"",_xlfn.MINIFS(tblActivities[Activity_Date],tblActivities[Activity_Type],"Hired",tblActivities[Candidate_ID],Data_Model[[#This Row],[Candidate_ID]])),"")</f>
        <v>45669</v>
      </c>
      <c r="L66">
        <f>IF(Data_Model[[#This Row],[Submission_Date]]="",0,1)</f>
        <v>0</v>
      </c>
      <c r="M66">
        <f>IF(Data_Model[[#This Row],[Interview_Date]]="",0,1)</f>
        <v>0</v>
      </c>
      <c r="N66">
        <f>IF(Data_Model[[#This Row],[Hire_Date]]="",0,1)</f>
        <v>1</v>
      </c>
      <c r="O66" t="str">
        <f>IF(OR(Data_Model[ [#This Row],[Submission_Date] ]= "",Data_Model[[#This Row],[Resume_Date]] = "",Data_Model[[#This Row],[Submission_Date]] &lt; Data_Model[[#This Row],[Resume_Date]]), "",Data_Model[[#This Row],[Submission_Date]] - Data_Model[[#This Row],[Resume_Date]])</f>
        <v/>
      </c>
      <c r="P66" t="str">
        <f>IF(OR(Data_Model[[#This Row],[Submission_Date]]="",Data_Model[[#This Row],[Interview_Date]]="",Data_Model[[#This Row],[Interview_Date]] &lt; Data_Model[[#This Row],[Submission_Date]]),"",Data_Model[[#This Row],[Interview_Date]]-Data_Model[[#This Row],[Submission_Date]])</f>
        <v/>
      </c>
      <c r="Q66" s="4" t="str">
        <f>IF(OR(Data_Model[[#This Row],[Submission_Date]]="",Data_Model[[#This Row],[Hire_Date]]="",Data_Model[[#This Row],[Hire_Date]] &lt; Data_Model[[#This Row],[Submission_Date]]),"",Data_Model[[#This Row],[Hire_Date]]-Data_Model[[#This Row],[Submission_Date]])</f>
        <v/>
      </c>
      <c r="R66" s="4">
        <f>IF(AND(Data_Model[[#This Row],[Submission_Flag]]=1,Data_Model[[#This Row],[Hire_Flag]]=1,Data_Model[[#This Row],[Hire_Date]]&lt;Data_Model[[#This Row],[Submission_Date]]),1,0)</f>
        <v>0</v>
      </c>
    </row>
    <row r="67" spans="1:18" x14ac:dyDescent="0.25">
      <c r="A67" t="s">
        <v>116</v>
      </c>
      <c r="B67" t="s">
        <v>22</v>
      </c>
      <c r="C67" t="s">
        <v>49</v>
      </c>
      <c r="D67" t="s">
        <v>50</v>
      </c>
      <c r="E67" s="2">
        <v>45658</v>
      </c>
      <c r="F67" t="s">
        <v>35</v>
      </c>
      <c r="G67">
        <v>4</v>
      </c>
      <c r="H67" t="s">
        <v>57</v>
      </c>
      <c r="I67"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6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45674</v>
      </c>
      <c r="K67" s="2">
        <f>IFERROR(IF(_xlfn.MINIFS(tblActivities[Activity_Date],tblActivities[Activity_Type],"Hired",tblActivities[Candidate_ID],Data_Model[[#This Row],[Candidate_ID]])=0,"",_xlfn.MINIFS(tblActivities[Activity_Date],tblActivities[Activity_Type],"Hired",tblActivities[Candidate_ID],Data_Model[[#This Row],[Candidate_ID]])),"")</f>
        <v>45682</v>
      </c>
      <c r="L67">
        <f>IF(Data_Model[[#This Row],[Submission_Date]]="",0,1)</f>
        <v>0</v>
      </c>
      <c r="M67">
        <f>IF(Data_Model[[#This Row],[Interview_Date]]="",0,1)</f>
        <v>1</v>
      </c>
      <c r="N67">
        <f>IF(Data_Model[[#This Row],[Hire_Date]]="",0,1)</f>
        <v>1</v>
      </c>
      <c r="O67" t="str">
        <f>IF(OR(Data_Model[ [#This Row],[Submission_Date] ]= "",Data_Model[[#This Row],[Resume_Date]] = "",Data_Model[[#This Row],[Submission_Date]] &lt; Data_Model[[#This Row],[Resume_Date]]), "",Data_Model[[#This Row],[Submission_Date]] - Data_Model[[#This Row],[Resume_Date]])</f>
        <v/>
      </c>
      <c r="P67" t="str">
        <f>IF(OR(Data_Model[[#This Row],[Submission_Date]]="",Data_Model[[#This Row],[Interview_Date]]="",Data_Model[[#This Row],[Interview_Date]] &lt; Data_Model[[#This Row],[Submission_Date]]),"",Data_Model[[#This Row],[Interview_Date]]-Data_Model[[#This Row],[Submission_Date]])</f>
        <v/>
      </c>
      <c r="Q67" s="4" t="str">
        <f>IF(OR(Data_Model[[#This Row],[Submission_Date]]="",Data_Model[[#This Row],[Hire_Date]]="",Data_Model[[#This Row],[Hire_Date]] &lt; Data_Model[[#This Row],[Submission_Date]]),"",Data_Model[[#This Row],[Hire_Date]]-Data_Model[[#This Row],[Submission_Date]])</f>
        <v/>
      </c>
      <c r="R67" s="4">
        <f>IF(AND(Data_Model[[#This Row],[Submission_Flag]]=1,Data_Model[[#This Row],[Hire_Flag]]=1,Data_Model[[#This Row],[Hire_Date]]&lt;Data_Model[[#This Row],[Submission_Date]]),1,0)</f>
        <v>0</v>
      </c>
    </row>
    <row r="68" spans="1:18" x14ac:dyDescent="0.25">
      <c r="A68" t="s">
        <v>117</v>
      </c>
      <c r="B68" t="s">
        <v>24</v>
      </c>
      <c r="C68" t="s">
        <v>45</v>
      </c>
      <c r="D68" t="s">
        <v>34</v>
      </c>
      <c r="E68" s="2">
        <v>45676</v>
      </c>
      <c r="F68" t="s">
        <v>46</v>
      </c>
      <c r="G68">
        <v>4</v>
      </c>
      <c r="H68" t="s">
        <v>60</v>
      </c>
      <c r="I68"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6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68" s="2" t="str">
        <f>IFERROR(IF(_xlfn.MINIFS(tblActivities[Activity_Date],tblActivities[Activity_Type],"Hired",tblActivities[Candidate_ID],Data_Model[[#This Row],[Candidate_ID]])=0,"",_xlfn.MINIFS(tblActivities[Activity_Date],tblActivities[Activity_Type],"Hired",tblActivities[Candidate_ID],Data_Model[[#This Row],[Candidate_ID]])),"")</f>
        <v/>
      </c>
      <c r="L68">
        <f>IF(Data_Model[[#This Row],[Submission_Date]]="",0,1)</f>
        <v>1</v>
      </c>
      <c r="M68">
        <f>IF(Data_Model[[#This Row],[Interview_Date]]="",0,1)</f>
        <v>0</v>
      </c>
      <c r="N68">
        <f>IF(Data_Model[[#This Row],[Hire_Date]]="",0,1)</f>
        <v>0</v>
      </c>
      <c r="O68" t="str">
        <f>IF(OR(Data_Model[ [#This Row],[Submission_Date] ]= "",Data_Model[[#This Row],[Resume_Date]] = "",Data_Model[[#This Row],[Submission_Date]] &lt; Data_Model[[#This Row],[Resume_Date]]), "",Data_Model[[#This Row],[Submission_Date]] - Data_Model[[#This Row],[Resume_Date]])</f>
        <v/>
      </c>
      <c r="P68" t="str">
        <f>IF(OR(Data_Model[[#This Row],[Submission_Date]]="",Data_Model[[#This Row],[Interview_Date]]="",Data_Model[[#This Row],[Interview_Date]] &lt; Data_Model[[#This Row],[Submission_Date]]),"",Data_Model[[#This Row],[Interview_Date]]-Data_Model[[#This Row],[Submission_Date]])</f>
        <v/>
      </c>
      <c r="Q68" s="4" t="str">
        <f>IF(OR(Data_Model[[#This Row],[Submission_Date]]="",Data_Model[[#This Row],[Hire_Date]]="",Data_Model[[#This Row],[Hire_Date]] &lt; Data_Model[[#This Row],[Submission_Date]]),"",Data_Model[[#This Row],[Hire_Date]]-Data_Model[[#This Row],[Submission_Date]])</f>
        <v/>
      </c>
      <c r="R68" s="4">
        <f>IF(AND(Data_Model[[#This Row],[Submission_Flag]]=1,Data_Model[[#This Row],[Hire_Flag]]=1,Data_Model[[#This Row],[Hire_Date]]&lt;Data_Model[[#This Row],[Submission_Date]]),1,0)</f>
        <v>0</v>
      </c>
    </row>
    <row r="69" spans="1:18" x14ac:dyDescent="0.25">
      <c r="A69" t="s">
        <v>118</v>
      </c>
      <c r="B69" t="s">
        <v>20</v>
      </c>
      <c r="C69" t="s">
        <v>45</v>
      </c>
      <c r="D69" t="s">
        <v>52</v>
      </c>
      <c r="E69" s="2">
        <v>45665</v>
      </c>
      <c r="F69" t="s">
        <v>46</v>
      </c>
      <c r="G69">
        <v>5</v>
      </c>
      <c r="H69" t="s">
        <v>47</v>
      </c>
      <c r="I6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6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69" s="2" t="str">
        <f>IFERROR(IF(_xlfn.MINIFS(tblActivities[Activity_Date],tblActivities[Activity_Type],"Hired",tblActivities[Candidate_ID],Data_Model[[#This Row],[Candidate_ID]])=0,"",_xlfn.MINIFS(tblActivities[Activity_Date],tblActivities[Activity_Type],"Hired",tblActivities[Candidate_ID],Data_Model[[#This Row],[Candidate_ID]])),"")</f>
        <v/>
      </c>
      <c r="L69">
        <f>IF(Data_Model[[#This Row],[Submission_Date]]="",0,1)</f>
        <v>0</v>
      </c>
      <c r="M69">
        <f>IF(Data_Model[[#This Row],[Interview_Date]]="",0,1)</f>
        <v>0</v>
      </c>
      <c r="N69">
        <f>IF(Data_Model[[#This Row],[Hire_Date]]="",0,1)</f>
        <v>0</v>
      </c>
      <c r="O69" t="str">
        <f>IF(OR(Data_Model[ [#This Row],[Submission_Date] ]= "",Data_Model[[#This Row],[Resume_Date]] = "",Data_Model[[#This Row],[Submission_Date]] &lt; Data_Model[[#This Row],[Resume_Date]]), "",Data_Model[[#This Row],[Submission_Date]] - Data_Model[[#This Row],[Resume_Date]])</f>
        <v/>
      </c>
      <c r="P69" t="str">
        <f>IF(OR(Data_Model[[#This Row],[Submission_Date]]="",Data_Model[[#This Row],[Interview_Date]]="",Data_Model[[#This Row],[Interview_Date]] &lt; Data_Model[[#This Row],[Submission_Date]]),"",Data_Model[[#This Row],[Interview_Date]]-Data_Model[[#This Row],[Submission_Date]])</f>
        <v/>
      </c>
      <c r="Q69" s="4" t="str">
        <f>IF(OR(Data_Model[[#This Row],[Submission_Date]]="",Data_Model[[#This Row],[Hire_Date]]="",Data_Model[[#This Row],[Hire_Date]] &lt; Data_Model[[#This Row],[Submission_Date]]),"",Data_Model[[#This Row],[Hire_Date]]-Data_Model[[#This Row],[Submission_Date]])</f>
        <v/>
      </c>
      <c r="R69" s="4">
        <f>IF(AND(Data_Model[[#This Row],[Submission_Flag]]=1,Data_Model[[#This Row],[Hire_Flag]]=1,Data_Model[[#This Row],[Hire_Date]]&lt;Data_Model[[#This Row],[Submission_Date]]),1,0)</f>
        <v>0</v>
      </c>
    </row>
    <row r="70" spans="1:18" x14ac:dyDescent="0.25">
      <c r="A70" t="s">
        <v>119</v>
      </c>
      <c r="B70" t="s">
        <v>22</v>
      </c>
      <c r="C70" t="s">
        <v>45</v>
      </c>
      <c r="D70" t="s">
        <v>52</v>
      </c>
      <c r="E70" s="2">
        <v>45661</v>
      </c>
      <c r="F70" t="s">
        <v>40</v>
      </c>
      <c r="G70">
        <v>4</v>
      </c>
      <c r="H70" t="s">
        <v>47</v>
      </c>
      <c r="I7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45671</v>
      </c>
      <c r="J7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70" s="2" t="str">
        <f>IFERROR(IF(_xlfn.MINIFS(tblActivities[Activity_Date],tblActivities[Activity_Type],"Hired",tblActivities[Candidate_ID],Data_Model[[#This Row],[Candidate_ID]])=0,"",_xlfn.MINIFS(tblActivities[Activity_Date],tblActivities[Activity_Type],"Hired",tblActivities[Candidate_ID],Data_Model[[#This Row],[Candidate_ID]])),"")</f>
        <v/>
      </c>
      <c r="L70">
        <f>IF(Data_Model[[#This Row],[Submission_Date]]="",0,1)</f>
        <v>1</v>
      </c>
      <c r="M70">
        <f>IF(Data_Model[[#This Row],[Interview_Date]]="",0,1)</f>
        <v>0</v>
      </c>
      <c r="N70">
        <f>IF(Data_Model[[#This Row],[Hire_Date]]="",0,1)</f>
        <v>0</v>
      </c>
      <c r="O70">
        <f>IF(OR(Data_Model[ [#This Row],[Submission_Date] ]= "",Data_Model[[#This Row],[Resume_Date]] = "",Data_Model[[#This Row],[Submission_Date]] &lt; Data_Model[[#This Row],[Resume_Date]]), "",Data_Model[[#This Row],[Submission_Date]] - Data_Model[[#This Row],[Resume_Date]])</f>
        <v>10</v>
      </c>
      <c r="P70" t="str">
        <f>IF(OR(Data_Model[[#This Row],[Submission_Date]]="",Data_Model[[#This Row],[Interview_Date]]="",Data_Model[[#This Row],[Interview_Date]] &lt; Data_Model[[#This Row],[Submission_Date]]),"",Data_Model[[#This Row],[Interview_Date]]-Data_Model[[#This Row],[Submission_Date]])</f>
        <v/>
      </c>
      <c r="Q70" s="4" t="str">
        <f>IF(OR(Data_Model[[#This Row],[Submission_Date]]="",Data_Model[[#This Row],[Hire_Date]]="",Data_Model[[#This Row],[Hire_Date]] &lt; Data_Model[[#This Row],[Submission_Date]]),"",Data_Model[[#This Row],[Hire_Date]]-Data_Model[[#This Row],[Submission_Date]])</f>
        <v/>
      </c>
      <c r="R70" s="4">
        <f>IF(AND(Data_Model[[#This Row],[Submission_Flag]]=1,Data_Model[[#This Row],[Hire_Flag]]=1,Data_Model[[#This Row],[Hire_Date]]&lt;Data_Model[[#This Row],[Submission_Date]]),1,0)</f>
        <v>0</v>
      </c>
    </row>
    <row r="71" spans="1:18" x14ac:dyDescent="0.25">
      <c r="A71" t="s">
        <v>120</v>
      </c>
      <c r="B71" t="s">
        <v>17</v>
      </c>
      <c r="C71" t="s">
        <v>33</v>
      </c>
      <c r="D71" t="s">
        <v>50</v>
      </c>
      <c r="E71" s="2">
        <v>45675</v>
      </c>
      <c r="F71" t="s">
        <v>43</v>
      </c>
      <c r="G71">
        <v>10</v>
      </c>
      <c r="H71" t="s">
        <v>60</v>
      </c>
      <c r="I7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45687</v>
      </c>
      <c r="J7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71" s="2">
        <f>IFERROR(IF(_xlfn.MINIFS(tblActivities[Activity_Date],tblActivities[Activity_Type],"Hired",tblActivities[Candidate_ID],Data_Model[[#This Row],[Candidate_ID]])=0,"",_xlfn.MINIFS(tblActivities[Activity_Date],tblActivities[Activity_Type],"Hired",tblActivities[Candidate_ID],Data_Model[[#This Row],[Candidate_ID]])),"")</f>
        <v>45681</v>
      </c>
      <c r="L71">
        <f>IF(Data_Model[[#This Row],[Submission_Date]]="",0,1)</f>
        <v>1</v>
      </c>
      <c r="M71">
        <f>IF(Data_Model[[#This Row],[Interview_Date]]="",0,1)</f>
        <v>0</v>
      </c>
      <c r="N71">
        <f>IF(Data_Model[[#This Row],[Hire_Date]]="",0,1)</f>
        <v>1</v>
      </c>
      <c r="O71">
        <f>IF(OR(Data_Model[ [#This Row],[Submission_Date] ]= "",Data_Model[[#This Row],[Resume_Date]] = "",Data_Model[[#This Row],[Submission_Date]] &lt; Data_Model[[#This Row],[Resume_Date]]), "",Data_Model[[#This Row],[Submission_Date]] - Data_Model[[#This Row],[Resume_Date]])</f>
        <v>12</v>
      </c>
      <c r="P71" t="str">
        <f>IF(OR(Data_Model[[#This Row],[Submission_Date]]="",Data_Model[[#This Row],[Interview_Date]]="",Data_Model[[#This Row],[Interview_Date]] &lt; Data_Model[[#This Row],[Submission_Date]]),"",Data_Model[[#This Row],[Interview_Date]]-Data_Model[[#This Row],[Submission_Date]])</f>
        <v/>
      </c>
      <c r="Q71" s="4" t="str">
        <f>IF(OR(Data_Model[[#This Row],[Submission_Date]]="",Data_Model[[#This Row],[Hire_Date]]="",Data_Model[[#This Row],[Hire_Date]] &lt; Data_Model[[#This Row],[Submission_Date]]),"",Data_Model[[#This Row],[Hire_Date]]-Data_Model[[#This Row],[Submission_Date]])</f>
        <v/>
      </c>
      <c r="R71" s="4">
        <f>IF(AND(Data_Model[[#This Row],[Submission_Flag]]=1,Data_Model[[#This Row],[Hire_Flag]]=1,Data_Model[[#This Row],[Hire_Date]]&lt;Data_Model[[#This Row],[Submission_Date]]),1,0)</f>
        <v>1</v>
      </c>
    </row>
    <row r="72" spans="1:18" x14ac:dyDescent="0.25">
      <c r="A72" t="s">
        <v>121</v>
      </c>
      <c r="B72" t="s">
        <v>20</v>
      </c>
      <c r="C72" t="s">
        <v>49</v>
      </c>
      <c r="D72" t="s">
        <v>39</v>
      </c>
      <c r="E72" s="2">
        <v>45672</v>
      </c>
      <c r="F72" t="s">
        <v>64</v>
      </c>
      <c r="G72">
        <v>6</v>
      </c>
      <c r="H72" t="s">
        <v>57</v>
      </c>
      <c r="I7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7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72" s="2">
        <f>IFERROR(IF(_xlfn.MINIFS(tblActivities[Activity_Date],tblActivities[Activity_Type],"Hired",tblActivities[Candidate_ID],Data_Model[[#This Row],[Candidate_ID]])=0,"",_xlfn.MINIFS(tblActivities[Activity_Date],tblActivities[Activity_Type],"Hired",tblActivities[Candidate_ID],Data_Model[[#This Row],[Candidate_ID]])),"")</f>
        <v>45686</v>
      </c>
      <c r="L72">
        <f>IF(Data_Model[[#This Row],[Submission_Date]]="",0,1)</f>
        <v>1</v>
      </c>
      <c r="M72">
        <f>IF(Data_Model[[#This Row],[Interview_Date]]="",0,1)</f>
        <v>0</v>
      </c>
      <c r="N72">
        <f>IF(Data_Model[[#This Row],[Hire_Date]]="",0,1)</f>
        <v>1</v>
      </c>
      <c r="O72">
        <f>IF(OR(Data_Model[ [#This Row],[Submission_Date] ]= "",Data_Model[[#This Row],[Resume_Date]] = "",Data_Model[[#This Row],[Submission_Date]] &lt; Data_Model[[#This Row],[Resume_Date]]), "",Data_Model[[#This Row],[Submission_Date]] - Data_Model[[#This Row],[Resume_Date]])</f>
        <v>6</v>
      </c>
      <c r="P72" t="str">
        <f>IF(OR(Data_Model[[#This Row],[Submission_Date]]="",Data_Model[[#This Row],[Interview_Date]]="",Data_Model[[#This Row],[Interview_Date]] &lt; Data_Model[[#This Row],[Submission_Date]]),"",Data_Model[[#This Row],[Interview_Date]]-Data_Model[[#This Row],[Submission_Date]])</f>
        <v/>
      </c>
      <c r="Q72" s="4">
        <f>IF(OR(Data_Model[[#This Row],[Submission_Date]]="",Data_Model[[#This Row],[Hire_Date]]="",Data_Model[[#This Row],[Hire_Date]] &lt; Data_Model[[#This Row],[Submission_Date]]),"",Data_Model[[#This Row],[Hire_Date]]-Data_Model[[#This Row],[Submission_Date]])</f>
        <v>8</v>
      </c>
      <c r="R72" s="4">
        <f>IF(AND(Data_Model[[#This Row],[Submission_Flag]]=1,Data_Model[[#This Row],[Hire_Flag]]=1,Data_Model[[#This Row],[Hire_Date]]&lt;Data_Model[[#This Row],[Submission_Date]]),1,0)</f>
        <v>0</v>
      </c>
    </row>
    <row r="73" spans="1:18" x14ac:dyDescent="0.25">
      <c r="A73" t="s">
        <v>122</v>
      </c>
      <c r="B73" t="s">
        <v>16</v>
      </c>
      <c r="C73" t="s">
        <v>38</v>
      </c>
      <c r="D73" t="s">
        <v>39</v>
      </c>
      <c r="E73" s="2">
        <v>45672</v>
      </c>
      <c r="F73" t="s">
        <v>40</v>
      </c>
      <c r="G73">
        <v>3</v>
      </c>
      <c r="H73" t="s">
        <v>36</v>
      </c>
      <c r="I7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45686</v>
      </c>
      <c r="J7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45678</v>
      </c>
      <c r="K73" s="2" t="str">
        <f>IFERROR(IF(_xlfn.MINIFS(tblActivities[Activity_Date],tblActivities[Activity_Type],"Hired",tblActivities[Candidate_ID],Data_Model[[#This Row],[Candidate_ID]])=0,"",_xlfn.MINIFS(tblActivities[Activity_Date],tblActivities[Activity_Type],"Hired",tblActivities[Candidate_ID],Data_Model[[#This Row],[Candidate_ID]])),"")</f>
        <v/>
      </c>
      <c r="L73">
        <f>IF(Data_Model[[#This Row],[Submission_Date]]="",0,1)</f>
        <v>1</v>
      </c>
      <c r="M73">
        <f>IF(Data_Model[[#This Row],[Interview_Date]]="",0,1)</f>
        <v>1</v>
      </c>
      <c r="N73">
        <f>IF(Data_Model[[#This Row],[Hire_Date]]="",0,1)</f>
        <v>0</v>
      </c>
      <c r="O73">
        <f>IF(OR(Data_Model[ [#This Row],[Submission_Date] ]= "",Data_Model[[#This Row],[Resume_Date]] = "",Data_Model[[#This Row],[Submission_Date]] &lt; Data_Model[[#This Row],[Resume_Date]]), "",Data_Model[[#This Row],[Submission_Date]] - Data_Model[[#This Row],[Resume_Date]])</f>
        <v>14</v>
      </c>
      <c r="P73" t="str">
        <f>IF(OR(Data_Model[[#This Row],[Submission_Date]]="",Data_Model[[#This Row],[Interview_Date]]="",Data_Model[[#This Row],[Interview_Date]] &lt; Data_Model[[#This Row],[Submission_Date]]),"",Data_Model[[#This Row],[Interview_Date]]-Data_Model[[#This Row],[Submission_Date]])</f>
        <v/>
      </c>
      <c r="Q73" s="4" t="str">
        <f>IF(OR(Data_Model[[#This Row],[Submission_Date]]="",Data_Model[[#This Row],[Hire_Date]]="",Data_Model[[#This Row],[Hire_Date]] &lt; Data_Model[[#This Row],[Submission_Date]]),"",Data_Model[[#This Row],[Hire_Date]]-Data_Model[[#This Row],[Submission_Date]])</f>
        <v/>
      </c>
      <c r="R73" s="4">
        <f>IF(AND(Data_Model[[#This Row],[Submission_Flag]]=1,Data_Model[[#This Row],[Hire_Flag]]=1,Data_Model[[#This Row],[Hire_Date]]&lt;Data_Model[[#This Row],[Submission_Date]]),1,0)</f>
        <v>0</v>
      </c>
    </row>
    <row r="74" spans="1:18" x14ac:dyDescent="0.25">
      <c r="A74" t="s">
        <v>123</v>
      </c>
      <c r="B74" t="s">
        <v>22</v>
      </c>
      <c r="C74" t="s">
        <v>33</v>
      </c>
      <c r="D74" t="s">
        <v>34</v>
      </c>
      <c r="E74" s="2">
        <v>45665</v>
      </c>
      <c r="F74" t="s">
        <v>46</v>
      </c>
      <c r="G74">
        <v>5</v>
      </c>
      <c r="H74" t="s">
        <v>57</v>
      </c>
      <c r="I74"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45675</v>
      </c>
      <c r="J7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45681</v>
      </c>
      <c r="K74" s="2" t="str">
        <f>IFERROR(IF(_xlfn.MINIFS(tblActivities[Activity_Date],tblActivities[Activity_Type],"Hired",tblActivities[Candidate_ID],Data_Model[[#This Row],[Candidate_ID]])=0,"",_xlfn.MINIFS(tblActivities[Activity_Date],tblActivities[Activity_Type],"Hired",tblActivities[Candidate_ID],Data_Model[[#This Row],[Candidate_ID]])),"")</f>
        <v/>
      </c>
      <c r="L74">
        <f>IF(Data_Model[[#This Row],[Submission_Date]]="",0,1)</f>
        <v>1</v>
      </c>
      <c r="M74">
        <f>IF(Data_Model[[#This Row],[Interview_Date]]="",0,1)</f>
        <v>1</v>
      </c>
      <c r="N74">
        <f>IF(Data_Model[[#This Row],[Hire_Date]]="",0,1)</f>
        <v>0</v>
      </c>
      <c r="O74">
        <f>IF(OR(Data_Model[ [#This Row],[Submission_Date] ]= "",Data_Model[[#This Row],[Resume_Date]] = "",Data_Model[[#This Row],[Submission_Date]] &lt; Data_Model[[#This Row],[Resume_Date]]), "",Data_Model[[#This Row],[Submission_Date]] - Data_Model[[#This Row],[Resume_Date]])</f>
        <v>10</v>
      </c>
      <c r="P74">
        <f>IF(OR(Data_Model[[#This Row],[Submission_Date]]="",Data_Model[[#This Row],[Interview_Date]]="",Data_Model[[#This Row],[Interview_Date]] &lt; Data_Model[[#This Row],[Submission_Date]]),"",Data_Model[[#This Row],[Interview_Date]]-Data_Model[[#This Row],[Submission_Date]])</f>
        <v>6</v>
      </c>
      <c r="Q74" s="4" t="str">
        <f>IF(OR(Data_Model[[#This Row],[Submission_Date]]="",Data_Model[[#This Row],[Hire_Date]]="",Data_Model[[#This Row],[Hire_Date]] &lt; Data_Model[[#This Row],[Submission_Date]]),"",Data_Model[[#This Row],[Hire_Date]]-Data_Model[[#This Row],[Submission_Date]])</f>
        <v/>
      </c>
      <c r="R74" s="4">
        <f>IF(AND(Data_Model[[#This Row],[Submission_Flag]]=1,Data_Model[[#This Row],[Hire_Flag]]=1,Data_Model[[#This Row],[Hire_Date]]&lt;Data_Model[[#This Row],[Submission_Date]]),1,0)</f>
        <v>0</v>
      </c>
    </row>
    <row r="75" spans="1:18" x14ac:dyDescent="0.25">
      <c r="A75" t="s">
        <v>124</v>
      </c>
      <c r="B75" t="s">
        <v>13</v>
      </c>
      <c r="C75" t="s">
        <v>38</v>
      </c>
      <c r="D75" t="s">
        <v>52</v>
      </c>
      <c r="E75" s="2">
        <v>45677</v>
      </c>
      <c r="F75" t="s">
        <v>43</v>
      </c>
      <c r="G75">
        <v>8</v>
      </c>
      <c r="H75" t="s">
        <v>57</v>
      </c>
      <c r="I7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45681</v>
      </c>
      <c r="J7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45670</v>
      </c>
      <c r="K75" s="2" t="str">
        <f>IFERROR(IF(_xlfn.MINIFS(tblActivities[Activity_Date],tblActivities[Activity_Type],"Hired",tblActivities[Candidate_ID],Data_Model[[#This Row],[Candidate_ID]])=0,"",_xlfn.MINIFS(tblActivities[Activity_Date],tblActivities[Activity_Type],"Hired",tblActivities[Candidate_ID],Data_Model[[#This Row],[Candidate_ID]])),"")</f>
        <v/>
      </c>
      <c r="L75">
        <f>IF(Data_Model[[#This Row],[Submission_Date]]="",0,1)</f>
        <v>1</v>
      </c>
      <c r="M75">
        <f>IF(Data_Model[[#This Row],[Interview_Date]]="",0,1)</f>
        <v>1</v>
      </c>
      <c r="N75">
        <f>IF(Data_Model[[#This Row],[Hire_Date]]="",0,1)</f>
        <v>0</v>
      </c>
      <c r="O75">
        <f>IF(OR(Data_Model[ [#This Row],[Submission_Date] ]= "",Data_Model[[#This Row],[Resume_Date]] = "",Data_Model[[#This Row],[Submission_Date]] &lt; Data_Model[[#This Row],[Resume_Date]]), "",Data_Model[[#This Row],[Submission_Date]] - Data_Model[[#This Row],[Resume_Date]])</f>
        <v>4</v>
      </c>
      <c r="P75" t="str">
        <f>IF(OR(Data_Model[[#This Row],[Submission_Date]]="",Data_Model[[#This Row],[Interview_Date]]="",Data_Model[[#This Row],[Interview_Date]] &lt; Data_Model[[#This Row],[Submission_Date]]),"",Data_Model[[#This Row],[Interview_Date]]-Data_Model[[#This Row],[Submission_Date]])</f>
        <v/>
      </c>
      <c r="Q75" s="4" t="str">
        <f>IF(OR(Data_Model[[#This Row],[Submission_Date]]="",Data_Model[[#This Row],[Hire_Date]]="",Data_Model[[#This Row],[Hire_Date]] &lt; Data_Model[[#This Row],[Submission_Date]]),"",Data_Model[[#This Row],[Hire_Date]]-Data_Model[[#This Row],[Submission_Date]])</f>
        <v/>
      </c>
      <c r="R75" s="4">
        <f>IF(AND(Data_Model[[#This Row],[Submission_Flag]]=1,Data_Model[[#This Row],[Hire_Flag]]=1,Data_Model[[#This Row],[Hire_Date]]&lt;Data_Model[[#This Row],[Submission_Date]]),1,0)</f>
        <v>0</v>
      </c>
    </row>
    <row r="76" spans="1:18" x14ac:dyDescent="0.25">
      <c r="A76" t="s">
        <v>125</v>
      </c>
      <c r="B76" t="s">
        <v>13</v>
      </c>
      <c r="C76" t="s">
        <v>33</v>
      </c>
      <c r="D76" t="s">
        <v>34</v>
      </c>
      <c r="E76" s="2">
        <v>45663</v>
      </c>
      <c r="F76" t="s">
        <v>43</v>
      </c>
      <c r="G76">
        <v>4</v>
      </c>
      <c r="H76" t="s">
        <v>60</v>
      </c>
      <c r="I7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7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45679</v>
      </c>
      <c r="K76" s="2">
        <f>IFERROR(IF(_xlfn.MINIFS(tblActivities[Activity_Date],tblActivities[Activity_Type],"Hired",tblActivities[Candidate_ID],Data_Model[[#This Row],[Candidate_ID]])=0,"",_xlfn.MINIFS(tblActivities[Activity_Date],tblActivities[Activity_Type],"Hired",tblActivities[Candidate_ID],Data_Model[[#This Row],[Candidate_ID]])),"")</f>
        <v>45671</v>
      </c>
      <c r="L76">
        <f>IF(Data_Model[[#This Row],[Submission_Date]]="",0,1)</f>
        <v>1</v>
      </c>
      <c r="M76">
        <f>IF(Data_Model[[#This Row],[Interview_Date]]="",0,1)</f>
        <v>1</v>
      </c>
      <c r="N76">
        <f>IF(Data_Model[[#This Row],[Hire_Date]]="",0,1)</f>
        <v>1</v>
      </c>
      <c r="O76">
        <f>IF(OR(Data_Model[ [#This Row],[Submission_Date] ]= "",Data_Model[[#This Row],[Resume_Date]] = "",Data_Model[[#This Row],[Submission_Date]] &lt; Data_Model[[#This Row],[Resume_Date]]), "",Data_Model[[#This Row],[Submission_Date]] - Data_Model[[#This Row],[Resume_Date]])</f>
        <v>15</v>
      </c>
      <c r="P76">
        <f>IF(OR(Data_Model[[#This Row],[Submission_Date]]="",Data_Model[[#This Row],[Interview_Date]]="",Data_Model[[#This Row],[Interview_Date]] &lt; Data_Model[[#This Row],[Submission_Date]]),"",Data_Model[[#This Row],[Interview_Date]]-Data_Model[[#This Row],[Submission_Date]])</f>
        <v>1</v>
      </c>
      <c r="Q76" s="4" t="str">
        <f>IF(OR(Data_Model[[#This Row],[Submission_Date]]="",Data_Model[[#This Row],[Hire_Date]]="",Data_Model[[#This Row],[Hire_Date]] &lt; Data_Model[[#This Row],[Submission_Date]]),"",Data_Model[[#This Row],[Hire_Date]]-Data_Model[[#This Row],[Submission_Date]])</f>
        <v/>
      </c>
      <c r="R76" s="4">
        <f>IF(AND(Data_Model[[#This Row],[Submission_Flag]]=1,Data_Model[[#This Row],[Hire_Flag]]=1,Data_Model[[#This Row],[Hire_Date]]&lt;Data_Model[[#This Row],[Submission_Date]]),1,0)</f>
        <v>1</v>
      </c>
    </row>
    <row r="77" spans="1:18" x14ac:dyDescent="0.25">
      <c r="A77" t="s">
        <v>126</v>
      </c>
      <c r="B77" t="s">
        <v>13</v>
      </c>
      <c r="C77" t="s">
        <v>33</v>
      </c>
      <c r="D77" t="s">
        <v>39</v>
      </c>
      <c r="E77" s="2">
        <v>45670</v>
      </c>
      <c r="F77" t="s">
        <v>46</v>
      </c>
      <c r="G77">
        <v>10</v>
      </c>
      <c r="H77" t="s">
        <v>36</v>
      </c>
      <c r="I7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45672</v>
      </c>
      <c r="J7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77" s="2">
        <f>IFERROR(IF(_xlfn.MINIFS(tblActivities[Activity_Date],tblActivities[Activity_Type],"Hired",tblActivities[Candidate_ID],Data_Model[[#This Row],[Candidate_ID]])=0,"",_xlfn.MINIFS(tblActivities[Activity_Date],tblActivities[Activity_Type],"Hired",tblActivities[Candidate_ID],Data_Model[[#This Row],[Candidate_ID]])),"")</f>
        <v>45668</v>
      </c>
      <c r="L77">
        <f>IF(Data_Model[[#This Row],[Submission_Date]]="",0,1)</f>
        <v>1</v>
      </c>
      <c r="M77">
        <f>IF(Data_Model[[#This Row],[Interview_Date]]="",0,1)</f>
        <v>0</v>
      </c>
      <c r="N77">
        <f>IF(Data_Model[[#This Row],[Hire_Date]]="",0,1)</f>
        <v>1</v>
      </c>
      <c r="O77">
        <f>IF(OR(Data_Model[ [#This Row],[Submission_Date] ]= "",Data_Model[[#This Row],[Resume_Date]] = "",Data_Model[[#This Row],[Submission_Date]] &lt; Data_Model[[#This Row],[Resume_Date]]), "",Data_Model[[#This Row],[Submission_Date]] - Data_Model[[#This Row],[Resume_Date]])</f>
        <v>2</v>
      </c>
      <c r="P77" t="str">
        <f>IF(OR(Data_Model[[#This Row],[Submission_Date]]="",Data_Model[[#This Row],[Interview_Date]]="",Data_Model[[#This Row],[Interview_Date]] &lt; Data_Model[[#This Row],[Submission_Date]]),"",Data_Model[[#This Row],[Interview_Date]]-Data_Model[[#This Row],[Submission_Date]])</f>
        <v/>
      </c>
      <c r="Q77" s="4" t="str">
        <f>IF(OR(Data_Model[[#This Row],[Submission_Date]]="",Data_Model[[#This Row],[Hire_Date]]="",Data_Model[[#This Row],[Hire_Date]] &lt; Data_Model[[#This Row],[Submission_Date]]),"",Data_Model[[#This Row],[Hire_Date]]-Data_Model[[#This Row],[Submission_Date]])</f>
        <v/>
      </c>
      <c r="R77" s="4">
        <f>IF(AND(Data_Model[[#This Row],[Submission_Flag]]=1,Data_Model[[#This Row],[Hire_Flag]]=1,Data_Model[[#This Row],[Hire_Date]]&lt;Data_Model[[#This Row],[Submission_Date]]),1,0)</f>
        <v>1</v>
      </c>
    </row>
    <row r="78" spans="1:18" x14ac:dyDescent="0.25">
      <c r="A78" t="s">
        <v>127</v>
      </c>
      <c r="B78" t="s">
        <v>22</v>
      </c>
      <c r="C78" t="s">
        <v>45</v>
      </c>
      <c r="D78" t="s">
        <v>42</v>
      </c>
      <c r="E78" s="2">
        <v>45661</v>
      </c>
      <c r="F78" t="s">
        <v>43</v>
      </c>
      <c r="G78">
        <v>5</v>
      </c>
      <c r="H78" t="s">
        <v>47</v>
      </c>
      <c r="I7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7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78" s="2" t="str">
        <f>IFERROR(IF(_xlfn.MINIFS(tblActivities[Activity_Date],tblActivities[Activity_Type],"Hired",tblActivities[Candidate_ID],Data_Model[[#This Row],[Candidate_ID]])=0,"",_xlfn.MINIFS(tblActivities[Activity_Date],tblActivities[Activity_Type],"Hired",tblActivities[Candidate_ID],Data_Model[[#This Row],[Candidate_ID]])),"")</f>
        <v/>
      </c>
      <c r="L78">
        <f>IF(Data_Model[[#This Row],[Submission_Date]]="",0,1)</f>
        <v>0</v>
      </c>
      <c r="M78">
        <f>IF(Data_Model[[#This Row],[Interview_Date]]="",0,1)</f>
        <v>0</v>
      </c>
      <c r="N78">
        <f>IF(Data_Model[[#This Row],[Hire_Date]]="",0,1)</f>
        <v>0</v>
      </c>
      <c r="O78" t="str">
        <f>IF(OR(Data_Model[ [#This Row],[Submission_Date] ]= "",Data_Model[[#This Row],[Resume_Date]] = "",Data_Model[[#This Row],[Submission_Date]] &lt; Data_Model[[#This Row],[Resume_Date]]), "",Data_Model[[#This Row],[Submission_Date]] - Data_Model[[#This Row],[Resume_Date]])</f>
        <v/>
      </c>
      <c r="P78" t="str">
        <f>IF(OR(Data_Model[[#This Row],[Submission_Date]]="",Data_Model[[#This Row],[Interview_Date]]="",Data_Model[[#This Row],[Interview_Date]] &lt; Data_Model[[#This Row],[Submission_Date]]),"",Data_Model[[#This Row],[Interview_Date]]-Data_Model[[#This Row],[Submission_Date]])</f>
        <v/>
      </c>
      <c r="Q78" s="4" t="str">
        <f>IF(OR(Data_Model[[#This Row],[Submission_Date]]="",Data_Model[[#This Row],[Hire_Date]]="",Data_Model[[#This Row],[Hire_Date]] &lt; Data_Model[[#This Row],[Submission_Date]]),"",Data_Model[[#This Row],[Hire_Date]]-Data_Model[[#This Row],[Submission_Date]])</f>
        <v/>
      </c>
      <c r="R78" s="4">
        <f>IF(AND(Data_Model[[#This Row],[Submission_Flag]]=1,Data_Model[[#This Row],[Hire_Flag]]=1,Data_Model[[#This Row],[Hire_Date]]&lt;Data_Model[[#This Row],[Submission_Date]]),1,0)</f>
        <v>0</v>
      </c>
    </row>
    <row r="79" spans="1:18" x14ac:dyDescent="0.25">
      <c r="A79" t="s">
        <v>128</v>
      </c>
      <c r="B79" t="s">
        <v>6</v>
      </c>
      <c r="C79" t="s">
        <v>33</v>
      </c>
      <c r="D79" t="s">
        <v>42</v>
      </c>
      <c r="E79" s="2">
        <v>45676</v>
      </c>
      <c r="F79" t="s">
        <v>64</v>
      </c>
      <c r="G79">
        <v>10</v>
      </c>
      <c r="H79" t="s">
        <v>47</v>
      </c>
      <c r="I7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7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45677</v>
      </c>
      <c r="K79" s="2" t="str">
        <f>IFERROR(IF(_xlfn.MINIFS(tblActivities[Activity_Date],tblActivities[Activity_Type],"Hired",tblActivities[Candidate_ID],Data_Model[[#This Row],[Candidate_ID]])=0,"",_xlfn.MINIFS(tblActivities[Activity_Date],tblActivities[Activity_Type],"Hired",tblActivities[Candidate_ID],Data_Model[[#This Row],[Candidate_ID]])),"")</f>
        <v/>
      </c>
      <c r="L79">
        <f>IF(Data_Model[[#This Row],[Submission_Date]]="",0,1)</f>
        <v>0</v>
      </c>
      <c r="M79">
        <f>IF(Data_Model[[#This Row],[Interview_Date]]="",0,1)</f>
        <v>1</v>
      </c>
      <c r="N79">
        <f>IF(Data_Model[[#This Row],[Hire_Date]]="",0,1)</f>
        <v>0</v>
      </c>
      <c r="O79" t="str">
        <f>IF(OR(Data_Model[ [#This Row],[Submission_Date] ]= "",Data_Model[[#This Row],[Resume_Date]] = "",Data_Model[[#This Row],[Submission_Date]] &lt; Data_Model[[#This Row],[Resume_Date]]), "",Data_Model[[#This Row],[Submission_Date]] - Data_Model[[#This Row],[Resume_Date]])</f>
        <v/>
      </c>
      <c r="P79" t="str">
        <f>IF(OR(Data_Model[[#This Row],[Submission_Date]]="",Data_Model[[#This Row],[Interview_Date]]="",Data_Model[[#This Row],[Interview_Date]] &lt; Data_Model[[#This Row],[Submission_Date]]),"",Data_Model[[#This Row],[Interview_Date]]-Data_Model[[#This Row],[Submission_Date]])</f>
        <v/>
      </c>
      <c r="Q79" s="4" t="str">
        <f>IF(OR(Data_Model[[#This Row],[Submission_Date]]="",Data_Model[[#This Row],[Hire_Date]]="",Data_Model[[#This Row],[Hire_Date]] &lt; Data_Model[[#This Row],[Submission_Date]]),"",Data_Model[[#This Row],[Hire_Date]]-Data_Model[[#This Row],[Submission_Date]])</f>
        <v/>
      </c>
      <c r="R79" s="4">
        <f>IF(AND(Data_Model[[#This Row],[Submission_Flag]]=1,Data_Model[[#This Row],[Hire_Flag]]=1,Data_Model[[#This Row],[Hire_Date]]&lt;Data_Model[[#This Row],[Submission_Date]]),1,0)</f>
        <v>0</v>
      </c>
    </row>
    <row r="80" spans="1:18" x14ac:dyDescent="0.25">
      <c r="A80" t="s">
        <v>129</v>
      </c>
      <c r="B80" t="s">
        <v>17</v>
      </c>
      <c r="C80" t="s">
        <v>38</v>
      </c>
      <c r="D80" t="s">
        <v>42</v>
      </c>
      <c r="E80" s="2">
        <v>45677</v>
      </c>
      <c r="F80" t="s">
        <v>46</v>
      </c>
      <c r="G80">
        <v>5</v>
      </c>
      <c r="H80" t="s">
        <v>57</v>
      </c>
      <c r="I8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8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80" s="2" t="str">
        <f>IFERROR(IF(_xlfn.MINIFS(tblActivities[Activity_Date],tblActivities[Activity_Type],"Hired",tblActivities[Candidate_ID],Data_Model[[#This Row],[Candidate_ID]])=0,"",_xlfn.MINIFS(tblActivities[Activity_Date],tblActivities[Activity_Type],"Hired",tblActivities[Candidate_ID],Data_Model[[#This Row],[Candidate_ID]])),"")</f>
        <v/>
      </c>
      <c r="L80">
        <f>IF(Data_Model[[#This Row],[Submission_Date]]="",0,1)</f>
        <v>0</v>
      </c>
      <c r="M80">
        <f>IF(Data_Model[[#This Row],[Interview_Date]]="",0,1)</f>
        <v>0</v>
      </c>
      <c r="N80">
        <f>IF(Data_Model[[#This Row],[Hire_Date]]="",0,1)</f>
        <v>0</v>
      </c>
      <c r="O80" t="str">
        <f>IF(OR(Data_Model[ [#This Row],[Submission_Date] ]= "",Data_Model[[#This Row],[Resume_Date]] = "",Data_Model[[#This Row],[Submission_Date]] &lt; Data_Model[[#This Row],[Resume_Date]]), "",Data_Model[[#This Row],[Submission_Date]] - Data_Model[[#This Row],[Resume_Date]])</f>
        <v/>
      </c>
      <c r="P80" t="str">
        <f>IF(OR(Data_Model[[#This Row],[Submission_Date]]="",Data_Model[[#This Row],[Interview_Date]]="",Data_Model[[#This Row],[Interview_Date]] &lt; Data_Model[[#This Row],[Submission_Date]]),"",Data_Model[[#This Row],[Interview_Date]]-Data_Model[[#This Row],[Submission_Date]])</f>
        <v/>
      </c>
      <c r="Q80" s="4" t="str">
        <f>IF(OR(Data_Model[[#This Row],[Submission_Date]]="",Data_Model[[#This Row],[Hire_Date]]="",Data_Model[[#This Row],[Hire_Date]] &lt; Data_Model[[#This Row],[Submission_Date]]),"",Data_Model[[#This Row],[Hire_Date]]-Data_Model[[#This Row],[Submission_Date]])</f>
        <v/>
      </c>
      <c r="R80" s="4">
        <f>IF(AND(Data_Model[[#This Row],[Submission_Flag]]=1,Data_Model[[#This Row],[Hire_Flag]]=1,Data_Model[[#This Row],[Hire_Date]]&lt;Data_Model[[#This Row],[Submission_Date]]),1,0)</f>
        <v>0</v>
      </c>
    </row>
    <row r="81" spans="1:18" x14ac:dyDescent="0.25">
      <c r="A81" t="s">
        <v>130</v>
      </c>
      <c r="B81" t="s">
        <v>10</v>
      </c>
      <c r="C81" t="s">
        <v>45</v>
      </c>
      <c r="D81" t="s">
        <v>52</v>
      </c>
      <c r="E81" s="2">
        <v>45674</v>
      </c>
      <c r="F81" t="s">
        <v>35</v>
      </c>
      <c r="G81">
        <v>2</v>
      </c>
      <c r="H81" t="s">
        <v>47</v>
      </c>
      <c r="I8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45684</v>
      </c>
      <c r="J8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45685</v>
      </c>
      <c r="K81" s="2">
        <f>IFERROR(IF(_xlfn.MINIFS(tblActivities[Activity_Date],tblActivities[Activity_Type],"Hired",tblActivities[Candidate_ID],Data_Model[[#This Row],[Candidate_ID]])=0,"",_xlfn.MINIFS(tblActivities[Activity_Date],tblActivities[Activity_Type],"Hired",tblActivities[Candidate_ID],Data_Model[[#This Row],[Candidate_ID]])),"")</f>
        <v>45682</v>
      </c>
      <c r="L81">
        <f>IF(Data_Model[[#This Row],[Submission_Date]]="",0,1)</f>
        <v>1</v>
      </c>
      <c r="M81">
        <f>IF(Data_Model[[#This Row],[Interview_Date]]="",0,1)</f>
        <v>1</v>
      </c>
      <c r="N81">
        <f>IF(Data_Model[[#This Row],[Hire_Date]]="",0,1)</f>
        <v>1</v>
      </c>
      <c r="O81">
        <f>IF(OR(Data_Model[ [#This Row],[Submission_Date] ]= "",Data_Model[[#This Row],[Resume_Date]] = "",Data_Model[[#This Row],[Submission_Date]] &lt; Data_Model[[#This Row],[Resume_Date]]), "",Data_Model[[#This Row],[Submission_Date]] - Data_Model[[#This Row],[Resume_Date]])</f>
        <v>10</v>
      </c>
      <c r="P81">
        <f>IF(OR(Data_Model[[#This Row],[Submission_Date]]="",Data_Model[[#This Row],[Interview_Date]]="",Data_Model[[#This Row],[Interview_Date]] &lt; Data_Model[[#This Row],[Submission_Date]]),"",Data_Model[[#This Row],[Interview_Date]]-Data_Model[[#This Row],[Submission_Date]])</f>
        <v>1</v>
      </c>
      <c r="Q81" s="4" t="str">
        <f>IF(OR(Data_Model[[#This Row],[Submission_Date]]="",Data_Model[[#This Row],[Hire_Date]]="",Data_Model[[#This Row],[Hire_Date]] &lt; Data_Model[[#This Row],[Submission_Date]]),"",Data_Model[[#This Row],[Hire_Date]]-Data_Model[[#This Row],[Submission_Date]])</f>
        <v/>
      </c>
      <c r="R81" s="4">
        <f>IF(AND(Data_Model[[#This Row],[Submission_Flag]]=1,Data_Model[[#This Row],[Hire_Flag]]=1,Data_Model[[#This Row],[Hire_Date]]&lt;Data_Model[[#This Row],[Submission_Date]]),1,0)</f>
        <v>1</v>
      </c>
    </row>
    <row r="82" spans="1:18" x14ac:dyDescent="0.25">
      <c r="A82" t="s">
        <v>131</v>
      </c>
      <c r="B82" t="s">
        <v>13</v>
      </c>
      <c r="C82" t="s">
        <v>45</v>
      </c>
      <c r="D82" t="s">
        <v>50</v>
      </c>
      <c r="E82" s="2">
        <v>45674</v>
      </c>
      <c r="F82" t="s">
        <v>35</v>
      </c>
      <c r="G82">
        <v>1</v>
      </c>
      <c r="H82" t="s">
        <v>57</v>
      </c>
      <c r="I8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8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45679</v>
      </c>
      <c r="K82" s="2">
        <f>IFERROR(IF(_xlfn.MINIFS(tblActivities[Activity_Date],tblActivities[Activity_Type],"Hired",tblActivities[Candidate_ID],Data_Model[[#This Row],[Candidate_ID]])=0,"",_xlfn.MINIFS(tblActivities[Activity_Date],tblActivities[Activity_Type],"Hired",tblActivities[Candidate_ID],Data_Model[[#This Row],[Candidate_ID]])),"")</f>
        <v>45682</v>
      </c>
      <c r="L82">
        <f>IF(Data_Model[[#This Row],[Submission_Date]]="",0,1)</f>
        <v>0</v>
      </c>
      <c r="M82">
        <f>IF(Data_Model[[#This Row],[Interview_Date]]="",0,1)</f>
        <v>1</v>
      </c>
      <c r="N82">
        <f>IF(Data_Model[[#This Row],[Hire_Date]]="",0,1)</f>
        <v>1</v>
      </c>
      <c r="O82" t="str">
        <f>IF(OR(Data_Model[ [#This Row],[Submission_Date] ]= "",Data_Model[[#This Row],[Resume_Date]] = "",Data_Model[[#This Row],[Submission_Date]] &lt; Data_Model[[#This Row],[Resume_Date]]), "",Data_Model[[#This Row],[Submission_Date]] - Data_Model[[#This Row],[Resume_Date]])</f>
        <v/>
      </c>
      <c r="P82" t="str">
        <f>IF(OR(Data_Model[[#This Row],[Submission_Date]]="",Data_Model[[#This Row],[Interview_Date]]="",Data_Model[[#This Row],[Interview_Date]] &lt; Data_Model[[#This Row],[Submission_Date]]),"",Data_Model[[#This Row],[Interview_Date]]-Data_Model[[#This Row],[Submission_Date]])</f>
        <v/>
      </c>
      <c r="Q82" s="4" t="str">
        <f>IF(OR(Data_Model[[#This Row],[Submission_Date]]="",Data_Model[[#This Row],[Hire_Date]]="",Data_Model[[#This Row],[Hire_Date]] &lt; Data_Model[[#This Row],[Submission_Date]]),"",Data_Model[[#This Row],[Hire_Date]]-Data_Model[[#This Row],[Submission_Date]])</f>
        <v/>
      </c>
      <c r="R82" s="4">
        <f>IF(AND(Data_Model[[#This Row],[Submission_Flag]]=1,Data_Model[[#This Row],[Hire_Flag]]=1,Data_Model[[#This Row],[Hire_Date]]&lt;Data_Model[[#This Row],[Submission_Date]]),1,0)</f>
        <v>0</v>
      </c>
    </row>
    <row r="83" spans="1:18" x14ac:dyDescent="0.25">
      <c r="A83" t="s">
        <v>132</v>
      </c>
      <c r="B83" t="s">
        <v>23</v>
      </c>
      <c r="C83" t="s">
        <v>49</v>
      </c>
      <c r="D83" t="s">
        <v>39</v>
      </c>
      <c r="E83" s="2">
        <v>45668</v>
      </c>
      <c r="F83" t="s">
        <v>62</v>
      </c>
      <c r="G83">
        <v>8</v>
      </c>
      <c r="H83" t="s">
        <v>60</v>
      </c>
      <c r="I8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45671</v>
      </c>
      <c r="J8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45666</v>
      </c>
      <c r="K83" s="2" t="str">
        <f>IFERROR(IF(_xlfn.MINIFS(tblActivities[Activity_Date],tblActivities[Activity_Type],"Hired",tblActivities[Candidate_ID],Data_Model[[#This Row],[Candidate_ID]])=0,"",_xlfn.MINIFS(tblActivities[Activity_Date],tblActivities[Activity_Type],"Hired",tblActivities[Candidate_ID],Data_Model[[#This Row],[Candidate_ID]])),"")</f>
        <v/>
      </c>
      <c r="L83">
        <f>IF(Data_Model[[#This Row],[Submission_Date]]="",0,1)</f>
        <v>1</v>
      </c>
      <c r="M83">
        <f>IF(Data_Model[[#This Row],[Interview_Date]]="",0,1)</f>
        <v>1</v>
      </c>
      <c r="N83">
        <f>IF(Data_Model[[#This Row],[Hire_Date]]="",0,1)</f>
        <v>0</v>
      </c>
      <c r="O83">
        <f>IF(OR(Data_Model[ [#This Row],[Submission_Date] ]= "",Data_Model[[#This Row],[Resume_Date]] = "",Data_Model[[#This Row],[Submission_Date]] &lt; Data_Model[[#This Row],[Resume_Date]]), "",Data_Model[[#This Row],[Submission_Date]] - Data_Model[[#This Row],[Resume_Date]])</f>
        <v>3</v>
      </c>
      <c r="P83" t="str">
        <f>IF(OR(Data_Model[[#This Row],[Submission_Date]]="",Data_Model[[#This Row],[Interview_Date]]="",Data_Model[[#This Row],[Interview_Date]] &lt; Data_Model[[#This Row],[Submission_Date]]),"",Data_Model[[#This Row],[Interview_Date]]-Data_Model[[#This Row],[Submission_Date]])</f>
        <v/>
      </c>
      <c r="Q83" s="4" t="str">
        <f>IF(OR(Data_Model[[#This Row],[Submission_Date]]="",Data_Model[[#This Row],[Hire_Date]]="",Data_Model[[#This Row],[Hire_Date]] &lt; Data_Model[[#This Row],[Submission_Date]]),"",Data_Model[[#This Row],[Hire_Date]]-Data_Model[[#This Row],[Submission_Date]])</f>
        <v/>
      </c>
      <c r="R83" s="4">
        <f>IF(AND(Data_Model[[#This Row],[Submission_Flag]]=1,Data_Model[[#This Row],[Hire_Flag]]=1,Data_Model[[#This Row],[Hire_Date]]&lt;Data_Model[[#This Row],[Submission_Date]]),1,0)</f>
        <v>0</v>
      </c>
    </row>
    <row r="84" spans="1:18" x14ac:dyDescent="0.25">
      <c r="A84" t="s">
        <v>133</v>
      </c>
      <c r="B84" t="s">
        <v>20</v>
      </c>
      <c r="C84" t="s">
        <v>49</v>
      </c>
      <c r="D84" t="s">
        <v>50</v>
      </c>
      <c r="E84" s="2">
        <v>45671</v>
      </c>
      <c r="F84" t="s">
        <v>46</v>
      </c>
      <c r="G84">
        <v>10</v>
      </c>
      <c r="H84" t="s">
        <v>47</v>
      </c>
      <c r="I8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8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45678</v>
      </c>
      <c r="K84" s="2">
        <f>IFERROR(IF(_xlfn.MINIFS(tblActivities[Activity_Date],tblActivities[Activity_Type],"Hired",tblActivities[Candidate_ID],Data_Model[[#This Row],[Candidate_ID]])=0,"",_xlfn.MINIFS(tblActivities[Activity_Date],tblActivities[Activity_Type],"Hired",tblActivities[Candidate_ID],Data_Model[[#This Row],[Candidate_ID]])),"")</f>
        <v>45677</v>
      </c>
      <c r="L84">
        <f>IF(Data_Model[[#This Row],[Submission_Date]]="",0,1)</f>
        <v>0</v>
      </c>
      <c r="M84">
        <f>IF(Data_Model[[#This Row],[Interview_Date]]="",0,1)</f>
        <v>1</v>
      </c>
      <c r="N84">
        <f>IF(Data_Model[[#This Row],[Hire_Date]]="",0,1)</f>
        <v>1</v>
      </c>
      <c r="O84" t="str">
        <f>IF(OR(Data_Model[ [#This Row],[Submission_Date] ]= "",Data_Model[[#This Row],[Resume_Date]] = "",Data_Model[[#This Row],[Submission_Date]] &lt; Data_Model[[#This Row],[Resume_Date]]), "",Data_Model[[#This Row],[Submission_Date]] - Data_Model[[#This Row],[Resume_Date]])</f>
        <v/>
      </c>
      <c r="P84" t="str">
        <f>IF(OR(Data_Model[[#This Row],[Submission_Date]]="",Data_Model[[#This Row],[Interview_Date]]="",Data_Model[[#This Row],[Interview_Date]] &lt; Data_Model[[#This Row],[Submission_Date]]),"",Data_Model[[#This Row],[Interview_Date]]-Data_Model[[#This Row],[Submission_Date]])</f>
        <v/>
      </c>
      <c r="Q84" s="4" t="str">
        <f>IF(OR(Data_Model[[#This Row],[Submission_Date]]="",Data_Model[[#This Row],[Hire_Date]]="",Data_Model[[#This Row],[Hire_Date]] &lt; Data_Model[[#This Row],[Submission_Date]]),"",Data_Model[[#This Row],[Hire_Date]]-Data_Model[[#This Row],[Submission_Date]])</f>
        <v/>
      </c>
      <c r="R84" s="4">
        <f>IF(AND(Data_Model[[#This Row],[Submission_Flag]]=1,Data_Model[[#This Row],[Hire_Flag]]=1,Data_Model[[#This Row],[Hire_Date]]&lt;Data_Model[[#This Row],[Submission_Date]]),1,0)</f>
        <v>0</v>
      </c>
    </row>
    <row r="85" spans="1:18" x14ac:dyDescent="0.25">
      <c r="A85" t="s">
        <v>134</v>
      </c>
      <c r="B85" t="s">
        <v>16</v>
      </c>
      <c r="C85" t="s">
        <v>49</v>
      </c>
      <c r="D85" t="s">
        <v>34</v>
      </c>
      <c r="E85" s="2">
        <v>45675</v>
      </c>
      <c r="F85" t="s">
        <v>40</v>
      </c>
      <c r="G85">
        <v>3</v>
      </c>
      <c r="H85" t="s">
        <v>36</v>
      </c>
      <c r="I8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45676</v>
      </c>
      <c r="J8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45673</v>
      </c>
      <c r="K85" s="2">
        <f>IFERROR(IF(_xlfn.MINIFS(tblActivities[Activity_Date],tblActivities[Activity_Type],"Hired",tblActivities[Candidate_ID],Data_Model[[#This Row],[Candidate_ID]])=0,"",_xlfn.MINIFS(tblActivities[Activity_Date],tblActivities[Activity_Type],"Hired",tblActivities[Candidate_ID],Data_Model[[#This Row],[Candidate_ID]])),"")</f>
        <v>45675</v>
      </c>
      <c r="L85">
        <f>IF(Data_Model[[#This Row],[Submission_Date]]="",0,1)</f>
        <v>1</v>
      </c>
      <c r="M85">
        <f>IF(Data_Model[[#This Row],[Interview_Date]]="",0,1)</f>
        <v>1</v>
      </c>
      <c r="N85">
        <f>IF(Data_Model[[#This Row],[Hire_Date]]="",0,1)</f>
        <v>1</v>
      </c>
      <c r="O85">
        <f>IF(OR(Data_Model[ [#This Row],[Submission_Date] ]= "",Data_Model[[#This Row],[Resume_Date]] = "",Data_Model[[#This Row],[Submission_Date]] &lt; Data_Model[[#This Row],[Resume_Date]]), "",Data_Model[[#This Row],[Submission_Date]] - Data_Model[[#This Row],[Resume_Date]])</f>
        <v>1</v>
      </c>
      <c r="P85" t="str">
        <f>IF(OR(Data_Model[[#This Row],[Submission_Date]]="",Data_Model[[#This Row],[Interview_Date]]="",Data_Model[[#This Row],[Interview_Date]] &lt; Data_Model[[#This Row],[Submission_Date]]),"",Data_Model[[#This Row],[Interview_Date]]-Data_Model[[#This Row],[Submission_Date]])</f>
        <v/>
      </c>
      <c r="Q85" s="4" t="str">
        <f>IF(OR(Data_Model[[#This Row],[Submission_Date]]="",Data_Model[[#This Row],[Hire_Date]]="",Data_Model[[#This Row],[Hire_Date]] &lt; Data_Model[[#This Row],[Submission_Date]]),"",Data_Model[[#This Row],[Hire_Date]]-Data_Model[[#This Row],[Submission_Date]])</f>
        <v/>
      </c>
      <c r="R85" s="4">
        <f>IF(AND(Data_Model[[#This Row],[Submission_Flag]]=1,Data_Model[[#This Row],[Hire_Flag]]=1,Data_Model[[#This Row],[Hire_Date]]&lt;Data_Model[[#This Row],[Submission_Date]]),1,0)</f>
        <v>1</v>
      </c>
    </row>
    <row r="86" spans="1:18" x14ac:dyDescent="0.25">
      <c r="A86" t="s">
        <v>135</v>
      </c>
      <c r="B86" t="s">
        <v>16</v>
      </c>
      <c r="C86" t="s">
        <v>49</v>
      </c>
      <c r="D86" t="s">
        <v>52</v>
      </c>
      <c r="E86" s="2">
        <v>45665</v>
      </c>
      <c r="F86" t="s">
        <v>43</v>
      </c>
      <c r="G86">
        <v>2</v>
      </c>
      <c r="H86" t="s">
        <v>36</v>
      </c>
      <c r="I8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8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86" s="2">
        <f>IFERROR(IF(_xlfn.MINIFS(tblActivities[Activity_Date],tblActivities[Activity_Type],"Hired",tblActivities[Candidate_ID],Data_Model[[#This Row],[Candidate_ID]])=0,"",_xlfn.MINIFS(tblActivities[Activity_Date],tblActivities[Activity_Type],"Hired",tblActivities[Candidate_ID],Data_Model[[#This Row],[Candidate_ID]])),"")</f>
        <v>45676</v>
      </c>
      <c r="L86">
        <f>IF(Data_Model[[#This Row],[Submission_Date]]="",0,1)</f>
        <v>0</v>
      </c>
      <c r="M86">
        <f>IF(Data_Model[[#This Row],[Interview_Date]]="",0,1)</f>
        <v>0</v>
      </c>
      <c r="N86">
        <f>IF(Data_Model[[#This Row],[Hire_Date]]="",0,1)</f>
        <v>1</v>
      </c>
      <c r="O86" t="str">
        <f>IF(OR(Data_Model[ [#This Row],[Submission_Date] ]= "",Data_Model[[#This Row],[Resume_Date]] = "",Data_Model[[#This Row],[Submission_Date]] &lt; Data_Model[[#This Row],[Resume_Date]]), "",Data_Model[[#This Row],[Submission_Date]] - Data_Model[[#This Row],[Resume_Date]])</f>
        <v/>
      </c>
      <c r="P86" t="str">
        <f>IF(OR(Data_Model[[#This Row],[Submission_Date]]="",Data_Model[[#This Row],[Interview_Date]]="",Data_Model[[#This Row],[Interview_Date]] &lt; Data_Model[[#This Row],[Submission_Date]]),"",Data_Model[[#This Row],[Interview_Date]]-Data_Model[[#This Row],[Submission_Date]])</f>
        <v/>
      </c>
      <c r="Q86" s="4" t="str">
        <f>IF(OR(Data_Model[[#This Row],[Submission_Date]]="",Data_Model[[#This Row],[Hire_Date]]="",Data_Model[[#This Row],[Hire_Date]] &lt; Data_Model[[#This Row],[Submission_Date]]),"",Data_Model[[#This Row],[Hire_Date]]-Data_Model[[#This Row],[Submission_Date]])</f>
        <v/>
      </c>
      <c r="R86" s="4">
        <f>IF(AND(Data_Model[[#This Row],[Submission_Flag]]=1,Data_Model[[#This Row],[Hire_Flag]]=1,Data_Model[[#This Row],[Hire_Date]]&lt;Data_Model[[#This Row],[Submission_Date]]),1,0)</f>
        <v>0</v>
      </c>
    </row>
    <row r="87" spans="1:18" x14ac:dyDescent="0.25">
      <c r="A87" t="s">
        <v>136</v>
      </c>
      <c r="B87" t="s">
        <v>23</v>
      </c>
      <c r="C87" t="s">
        <v>45</v>
      </c>
      <c r="D87" t="s">
        <v>50</v>
      </c>
      <c r="E87" s="2">
        <v>45673</v>
      </c>
      <c r="F87" t="s">
        <v>64</v>
      </c>
      <c r="G87">
        <v>10</v>
      </c>
      <c r="H87" t="s">
        <v>47</v>
      </c>
      <c r="I87"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8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45672</v>
      </c>
      <c r="K87" s="2" t="str">
        <f>IFERROR(IF(_xlfn.MINIFS(tblActivities[Activity_Date],tblActivities[Activity_Type],"Hired",tblActivities[Candidate_ID],Data_Model[[#This Row],[Candidate_ID]])=0,"",_xlfn.MINIFS(tblActivities[Activity_Date],tblActivities[Activity_Type],"Hired",tblActivities[Candidate_ID],Data_Model[[#This Row],[Candidate_ID]])),"")</f>
        <v/>
      </c>
      <c r="L87">
        <f>IF(Data_Model[[#This Row],[Submission_Date]]="",0,1)</f>
        <v>0</v>
      </c>
      <c r="M87">
        <f>IF(Data_Model[[#This Row],[Interview_Date]]="",0,1)</f>
        <v>1</v>
      </c>
      <c r="N87">
        <f>IF(Data_Model[[#This Row],[Hire_Date]]="",0,1)</f>
        <v>0</v>
      </c>
      <c r="O87" t="str">
        <f>IF(OR(Data_Model[ [#This Row],[Submission_Date] ]= "",Data_Model[[#This Row],[Resume_Date]] = "",Data_Model[[#This Row],[Submission_Date]] &lt; Data_Model[[#This Row],[Resume_Date]]), "",Data_Model[[#This Row],[Submission_Date]] - Data_Model[[#This Row],[Resume_Date]])</f>
        <v/>
      </c>
      <c r="P87" t="str">
        <f>IF(OR(Data_Model[[#This Row],[Submission_Date]]="",Data_Model[[#This Row],[Interview_Date]]="",Data_Model[[#This Row],[Interview_Date]] &lt; Data_Model[[#This Row],[Submission_Date]]),"",Data_Model[[#This Row],[Interview_Date]]-Data_Model[[#This Row],[Submission_Date]])</f>
        <v/>
      </c>
      <c r="Q87" s="4" t="str">
        <f>IF(OR(Data_Model[[#This Row],[Submission_Date]]="",Data_Model[[#This Row],[Hire_Date]]="",Data_Model[[#This Row],[Hire_Date]] &lt; Data_Model[[#This Row],[Submission_Date]]),"",Data_Model[[#This Row],[Hire_Date]]-Data_Model[[#This Row],[Submission_Date]])</f>
        <v/>
      </c>
      <c r="R87" s="4">
        <f>IF(AND(Data_Model[[#This Row],[Submission_Flag]]=1,Data_Model[[#This Row],[Hire_Flag]]=1,Data_Model[[#This Row],[Hire_Date]]&lt;Data_Model[[#This Row],[Submission_Date]]),1,0)</f>
        <v>0</v>
      </c>
    </row>
    <row r="88" spans="1:18" x14ac:dyDescent="0.25">
      <c r="A88" t="s">
        <v>137</v>
      </c>
      <c r="B88" t="s">
        <v>23</v>
      </c>
      <c r="C88" t="s">
        <v>49</v>
      </c>
      <c r="D88" t="s">
        <v>34</v>
      </c>
      <c r="E88" s="2">
        <v>45663</v>
      </c>
      <c r="F88" t="s">
        <v>62</v>
      </c>
      <c r="G88">
        <v>4</v>
      </c>
      <c r="H88" t="s">
        <v>47</v>
      </c>
      <c r="I88"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8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88" s="2">
        <f>IFERROR(IF(_xlfn.MINIFS(tblActivities[Activity_Date],tblActivities[Activity_Type],"Hired",tblActivities[Candidate_ID],Data_Model[[#This Row],[Candidate_ID]])=0,"",_xlfn.MINIFS(tblActivities[Activity_Date],tblActivities[Activity_Type],"Hired",tblActivities[Candidate_ID],Data_Model[[#This Row],[Candidate_ID]])),"")</f>
        <v>45686</v>
      </c>
      <c r="L88">
        <f>IF(Data_Model[[#This Row],[Submission_Date]]="",0,1)</f>
        <v>1</v>
      </c>
      <c r="M88">
        <f>IF(Data_Model[[#This Row],[Interview_Date]]="",0,1)</f>
        <v>0</v>
      </c>
      <c r="N88">
        <f>IF(Data_Model[[#This Row],[Hire_Date]]="",0,1)</f>
        <v>1</v>
      </c>
      <c r="O88">
        <f>IF(OR(Data_Model[ [#This Row],[Submission_Date] ]= "",Data_Model[[#This Row],[Resume_Date]] = "",Data_Model[[#This Row],[Submission_Date]] &lt; Data_Model[[#This Row],[Resume_Date]]), "",Data_Model[[#This Row],[Submission_Date]] - Data_Model[[#This Row],[Resume_Date]])</f>
        <v>17</v>
      </c>
      <c r="P88" t="str">
        <f>IF(OR(Data_Model[[#This Row],[Submission_Date]]="",Data_Model[[#This Row],[Interview_Date]]="",Data_Model[[#This Row],[Interview_Date]] &lt; Data_Model[[#This Row],[Submission_Date]]),"",Data_Model[[#This Row],[Interview_Date]]-Data_Model[[#This Row],[Submission_Date]])</f>
        <v/>
      </c>
      <c r="Q88" s="4">
        <f>IF(OR(Data_Model[[#This Row],[Submission_Date]]="",Data_Model[[#This Row],[Hire_Date]]="",Data_Model[[#This Row],[Hire_Date]] &lt; Data_Model[[#This Row],[Submission_Date]]),"",Data_Model[[#This Row],[Hire_Date]]-Data_Model[[#This Row],[Submission_Date]])</f>
        <v>6</v>
      </c>
      <c r="R88" s="4">
        <f>IF(AND(Data_Model[[#This Row],[Submission_Flag]]=1,Data_Model[[#This Row],[Hire_Flag]]=1,Data_Model[[#This Row],[Hire_Date]]&lt;Data_Model[[#This Row],[Submission_Date]]),1,0)</f>
        <v>0</v>
      </c>
    </row>
    <row r="89" spans="1:18" x14ac:dyDescent="0.25">
      <c r="A89" t="s">
        <v>138</v>
      </c>
      <c r="B89" t="s">
        <v>16</v>
      </c>
      <c r="C89" t="s">
        <v>33</v>
      </c>
      <c r="D89" t="s">
        <v>52</v>
      </c>
      <c r="E89" s="2">
        <v>45670</v>
      </c>
      <c r="F89" t="s">
        <v>46</v>
      </c>
      <c r="G89">
        <v>2</v>
      </c>
      <c r="H89" t="s">
        <v>57</v>
      </c>
      <c r="I8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45682</v>
      </c>
      <c r="J8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89" s="2">
        <f>IFERROR(IF(_xlfn.MINIFS(tblActivities[Activity_Date],tblActivities[Activity_Type],"Hired",tblActivities[Candidate_ID],Data_Model[[#This Row],[Candidate_ID]])=0,"",_xlfn.MINIFS(tblActivities[Activity_Date],tblActivities[Activity_Type],"Hired",tblActivities[Candidate_ID],Data_Model[[#This Row],[Candidate_ID]])),"")</f>
        <v>45684</v>
      </c>
      <c r="L89">
        <f>IF(Data_Model[[#This Row],[Submission_Date]]="",0,1)</f>
        <v>1</v>
      </c>
      <c r="M89">
        <f>IF(Data_Model[[#This Row],[Interview_Date]]="",0,1)</f>
        <v>0</v>
      </c>
      <c r="N89">
        <f>IF(Data_Model[[#This Row],[Hire_Date]]="",0,1)</f>
        <v>1</v>
      </c>
      <c r="O89">
        <f>IF(OR(Data_Model[ [#This Row],[Submission_Date] ]= "",Data_Model[[#This Row],[Resume_Date]] = "",Data_Model[[#This Row],[Submission_Date]] &lt; Data_Model[[#This Row],[Resume_Date]]), "",Data_Model[[#This Row],[Submission_Date]] - Data_Model[[#This Row],[Resume_Date]])</f>
        <v>12</v>
      </c>
      <c r="P89" t="str">
        <f>IF(OR(Data_Model[[#This Row],[Submission_Date]]="",Data_Model[[#This Row],[Interview_Date]]="",Data_Model[[#This Row],[Interview_Date]] &lt; Data_Model[[#This Row],[Submission_Date]]),"",Data_Model[[#This Row],[Interview_Date]]-Data_Model[[#This Row],[Submission_Date]])</f>
        <v/>
      </c>
      <c r="Q89" s="4">
        <f>IF(OR(Data_Model[[#This Row],[Submission_Date]]="",Data_Model[[#This Row],[Hire_Date]]="",Data_Model[[#This Row],[Hire_Date]] &lt; Data_Model[[#This Row],[Submission_Date]]),"",Data_Model[[#This Row],[Hire_Date]]-Data_Model[[#This Row],[Submission_Date]])</f>
        <v>2</v>
      </c>
      <c r="R89" s="4">
        <f>IF(AND(Data_Model[[#This Row],[Submission_Flag]]=1,Data_Model[[#This Row],[Hire_Flag]]=1,Data_Model[[#This Row],[Hire_Date]]&lt;Data_Model[[#This Row],[Submission_Date]]),1,0)</f>
        <v>0</v>
      </c>
    </row>
    <row r="90" spans="1:18" x14ac:dyDescent="0.25">
      <c r="A90" t="s">
        <v>139</v>
      </c>
      <c r="B90" t="s">
        <v>22</v>
      </c>
      <c r="C90" t="s">
        <v>33</v>
      </c>
      <c r="D90" t="s">
        <v>50</v>
      </c>
      <c r="E90" s="2">
        <v>45666</v>
      </c>
      <c r="F90" t="s">
        <v>40</v>
      </c>
      <c r="G90">
        <v>7</v>
      </c>
      <c r="H90" t="s">
        <v>36</v>
      </c>
      <c r="I9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9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45684</v>
      </c>
      <c r="K90" s="2" t="str">
        <f>IFERROR(IF(_xlfn.MINIFS(tblActivities[Activity_Date],tblActivities[Activity_Type],"Hired",tblActivities[Candidate_ID],Data_Model[[#This Row],[Candidate_ID]])=0,"",_xlfn.MINIFS(tblActivities[Activity_Date],tblActivities[Activity_Type],"Hired",tblActivities[Candidate_ID],Data_Model[[#This Row],[Candidate_ID]])),"")</f>
        <v/>
      </c>
      <c r="L90">
        <f>IF(Data_Model[[#This Row],[Submission_Date]]="",0,1)</f>
        <v>1</v>
      </c>
      <c r="M90">
        <f>IF(Data_Model[[#This Row],[Interview_Date]]="",0,1)</f>
        <v>1</v>
      </c>
      <c r="N90">
        <f>IF(Data_Model[[#This Row],[Hire_Date]]="",0,1)</f>
        <v>0</v>
      </c>
      <c r="O90">
        <f>IF(OR(Data_Model[ [#This Row],[Submission_Date] ]= "",Data_Model[[#This Row],[Resume_Date]] = "",Data_Model[[#This Row],[Submission_Date]] &lt; Data_Model[[#This Row],[Resume_Date]]), "",Data_Model[[#This Row],[Submission_Date]] - Data_Model[[#This Row],[Resume_Date]])</f>
        <v>12</v>
      </c>
      <c r="P90">
        <f>IF(OR(Data_Model[[#This Row],[Submission_Date]]="",Data_Model[[#This Row],[Interview_Date]]="",Data_Model[[#This Row],[Interview_Date]] &lt; Data_Model[[#This Row],[Submission_Date]]),"",Data_Model[[#This Row],[Interview_Date]]-Data_Model[[#This Row],[Submission_Date]])</f>
        <v>6</v>
      </c>
      <c r="Q90" s="4" t="str">
        <f>IF(OR(Data_Model[[#This Row],[Submission_Date]]="",Data_Model[[#This Row],[Hire_Date]]="",Data_Model[[#This Row],[Hire_Date]] &lt; Data_Model[[#This Row],[Submission_Date]]),"",Data_Model[[#This Row],[Hire_Date]]-Data_Model[[#This Row],[Submission_Date]])</f>
        <v/>
      </c>
      <c r="R90" s="4">
        <f>IF(AND(Data_Model[[#This Row],[Submission_Flag]]=1,Data_Model[[#This Row],[Hire_Flag]]=1,Data_Model[[#This Row],[Hire_Date]]&lt;Data_Model[[#This Row],[Submission_Date]]),1,0)</f>
        <v>0</v>
      </c>
    </row>
    <row r="91" spans="1:18" x14ac:dyDescent="0.25">
      <c r="A91" t="s">
        <v>140</v>
      </c>
      <c r="B91" t="s">
        <v>13</v>
      </c>
      <c r="C91" t="s">
        <v>45</v>
      </c>
      <c r="D91" t="s">
        <v>39</v>
      </c>
      <c r="E91" s="2">
        <v>45669</v>
      </c>
      <c r="F91" t="s">
        <v>40</v>
      </c>
      <c r="G91">
        <v>9</v>
      </c>
      <c r="H91" t="s">
        <v>60</v>
      </c>
      <c r="I9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9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45669</v>
      </c>
      <c r="K91" s="2">
        <f>IFERROR(IF(_xlfn.MINIFS(tblActivities[Activity_Date],tblActivities[Activity_Type],"Hired",tblActivities[Candidate_ID],Data_Model[[#This Row],[Candidate_ID]])=0,"",_xlfn.MINIFS(tblActivities[Activity_Date],tblActivities[Activity_Type],"Hired",tblActivities[Candidate_ID],Data_Model[[#This Row],[Candidate_ID]])),"")</f>
        <v>45681</v>
      </c>
      <c r="L91">
        <f>IF(Data_Model[[#This Row],[Submission_Date]]="",0,1)</f>
        <v>0</v>
      </c>
      <c r="M91">
        <f>IF(Data_Model[[#This Row],[Interview_Date]]="",0,1)</f>
        <v>1</v>
      </c>
      <c r="N91">
        <f>IF(Data_Model[[#This Row],[Hire_Date]]="",0,1)</f>
        <v>1</v>
      </c>
      <c r="O91" t="str">
        <f>IF(OR(Data_Model[ [#This Row],[Submission_Date] ]= "",Data_Model[[#This Row],[Resume_Date]] = "",Data_Model[[#This Row],[Submission_Date]] &lt; Data_Model[[#This Row],[Resume_Date]]), "",Data_Model[[#This Row],[Submission_Date]] - Data_Model[[#This Row],[Resume_Date]])</f>
        <v/>
      </c>
      <c r="P91" t="str">
        <f>IF(OR(Data_Model[[#This Row],[Submission_Date]]="",Data_Model[[#This Row],[Interview_Date]]="",Data_Model[[#This Row],[Interview_Date]] &lt; Data_Model[[#This Row],[Submission_Date]]),"",Data_Model[[#This Row],[Interview_Date]]-Data_Model[[#This Row],[Submission_Date]])</f>
        <v/>
      </c>
      <c r="Q91" s="4" t="str">
        <f>IF(OR(Data_Model[[#This Row],[Submission_Date]]="",Data_Model[[#This Row],[Hire_Date]]="",Data_Model[[#This Row],[Hire_Date]] &lt; Data_Model[[#This Row],[Submission_Date]]),"",Data_Model[[#This Row],[Hire_Date]]-Data_Model[[#This Row],[Submission_Date]])</f>
        <v/>
      </c>
      <c r="R91" s="4">
        <f>IF(AND(Data_Model[[#This Row],[Submission_Flag]]=1,Data_Model[[#This Row],[Hire_Flag]]=1,Data_Model[[#This Row],[Hire_Date]]&lt;Data_Model[[#This Row],[Submission_Date]]),1,0)</f>
        <v>0</v>
      </c>
    </row>
    <row r="92" spans="1:18" x14ac:dyDescent="0.25">
      <c r="A92" t="s">
        <v>141</v>
      </c>
      <c r="B92" t="s">
        <v>19</v>
      </c>
      <c r="C92" t="s">
        <v>38</v>
      </c>
      <c r="D92" t="s">
        <v>52</v>
      </c>
      <c r="E92" s="2">
        <v>45663</v>
      </c>
      <c r="F92" t="s">
        <v>43</v>
      </c>
      <c r="G92">
        <v>4</v>
      </c>
      <c r="H92" t="s">
        <v>36</v>
      </c>
      <c r="I9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45684</v>
      </c>
      <c r="J9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92" s="2" t="str">
        <f>IFERROR(IF(_xlfn.MINIFS(tblActivities[Activity_Date],tblActivities[Activity_Type],"Hired",tblActivities[Candidate_ID],Data_Model[[#This Row],[Candidate_ID]])=0,"",_xlfn.MINIFS(tblActivities[Activity_Date],tblActivities[Activity_Type],"Hired",tblActivities[Candidate_ID],Data_Model[[#This Row],[Candidate_ID]])),"")</f>
        <v/>
      </c>
      <c r="L92">
        <f>IF(Data_Model[[#This Row],[Submission_Date]]="",0,1)</f>
        <v>1</v>
      </c>
      <c r="M92">
        <f>IF(Data_Model[[#This Row],[Interview_Date]]="",0,1)</f>
        <v>0</v>
      </c>
      <c r="N92">
        <f>IF(Data_Model[[#This Row],[Hire_Date]]="",0,1)</f>
        <v>0</v>
      </c>
      <c r="O92">
        <f>IF(OR(Data_Model[ [#This Row],[Submission_Date] ]= "",Data_Model[[#This Row],[Resume_Date]] = "",Data_Model[[#This Row],[Submission_Date]] &lt; Data_Model[[#This Row],[Resume_Date]]), "",Data_Model[[#This Row],[Submission_Date]] - Data_Model[[#This Row],[Resume_Date]])</f>
        <v>21</v>
      </c>
      <c r="P92" t="str">
        <f>IF(OR(Data_Model[[#This Row],[Submission_Date]]="",Data_Model[[#This Row],[Interview_Date]]="",Data_Model[[#This Row],[Interview_Date]] &lt; Data_Model[[#This Row],[Submission_Date]]),"",Data_Model[[#This Row],[Interview_Date]]-Data_Model[[#This Row],[Submission_Date]])</f>
        <v/>
      </c>
      <c r="Q92" s="4" t="str">
        <f>IF(OR(Data_Model[[#This Row],[Submission_Date]]="",Data_Model[[#This Row],[Hire_Date]]="",Data_Model[[#This Row],[Hire_Date]] &lt; Data_Model[[#This Row],[Submission_Date]]),"",Data_Model[[#This Row],[Hire_Date]]-Data_Model[[#This Row],[Submission_Date]])</f>
        <v/>
      </c>
      <c r="R92" s="4">
        <f>IF(AND(Data_Model[[#This Row],[Submission_Flag]]=1,Data_Model[[#This Row],[Hire_Flag]]=1,Data_Model[[#This Row],[Hire_Date]]&lt;Data_Model[[#This Row],[Submission_Date]]),1,0)</f>
        <v>0</v>
      </c>
    </row>
    <row r="93" spans="1:18" x14ac:dyDescent="0.25">
      <c r="A93" t="s">
        <v>142</v>
      </c>
      <c r="B93" t="s">
        <v>13</v>
      </c>
      <c r="C93" t="s">
        <v>45</v>
      </c>
      <c r="D93" t="s">
        <v>39</v>
      </c>
      <c r="E93" s="2">
        <v>45675</v>
      </c>
      <c r="F93" t="s">
        <v>40</v>
      </c>
      <c r="G93">
        <v>1</v>
      </c>
      <c r="H93" t="s">
        <v>36</v>
      </c>
      <c r="I9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9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93" s="2">
        <f>IFERROR(IF(_xlfn.MINIFS(tblActivities[Activity_Date],tblActivities[Activity_Type],"Hired",tblActivities[Candidate_ID],Data_Model[[#This Row],[Candidate_ID]])=0,"",_xlfn.MINIFS(tblActivities[Activity_Date],tblActivities[Activity_Type],"Hired",tblActivities[Candidate_ID],Data_Model[[#This Row],[Candidate_ID]])),"")</f>
        <v>45668</v>
      </c>
      <c r="L93">
        <f>IF(Data_Model[[#This Row],[Submission_Date]]="",0,1)</f>
        <v>0</v>
      </c>
      <c r="M93">
        <f>IF(Data_Model[[#This Row],[Interview_Date]]="",0,1)</f>
        <v>0</v>
      </c>
      <c r="N93">
        <f>IF(Data_Model[[#This Row],[Hire_Date]]="",0,1)</f>
        <v>1</v>
      </c>
      <c r="O93" t="str">
        <f>IF(OR(Data_Model[ [#This Row],[Submission_Date] ]= "",Data_Model[[#This Row],[Resume_Date]] = "",Data_Model[[#This Row],[Submission_Date]] &lt; Data_Model[[#This Row],[Resume_Date]]), "",Data_Model[[#This Row],[Submission_Date]] - Data_Model[[#This Row],[Resume_Date]])</f>
        <v/>
      </c>
      <c r="P93" t="str">
        <f>IF(OR(Data_Model[[#This Row],[Submission_Date]]="",Data_Model[[#This Row],[Interview_Date]]="",Data_Model[[#This Row],[Interview_Date]] &lt; Data_Model[[#This Row],[Submission_Date]]),"",Data_Model[[#This Row],[Interview_Date]]-Data_Model[[#This Row],[Submission_Date]])</f>
        <v/>
      </c>
      <c r="Q93" s="4" t="str">
        <f>IF(OR(Data_Model[[#This Row],[Submission_Date]]="",Data_Model[[#This Row],[Hire_Date]]="",Data_Model[[#This Row],[Hire_Date]] &lt; Data_Model[[#This Row],[Submission_Date]]),"",Data_Model[[#This Row],[Hire_Date]]-Data_Model[[#This Row],[Submission_Date]])</f>
        <v/>
      </c>
      <c r="R93" s="4">
        <f>IF(AND(Data_Model[[#This Row],[Submission_Flag]]=1,Data_Model[[#This Row],[Hire_Flag]]=1,Data_Model[[#This Row],[Hire_Date]]&lt;Data_Model[[#This Row],[Submission_Date]]),1,0)</f>
        <v>0</v>
      </c>
    </row>
    <row r="94" spans="1:18" x14ac:dyDescent="0.25">
      <c r="A94" t="s">
        <v>143</v>
      </c>
      <c r="B94" t="s">
        <v>20</v>
      </c>
      <c r="C94" t="s">
        <v>49</v>
      </c>
      <c r="D94" t="s">
        <v>34</v>
      </c>
      <c r="E94" s="2">
        <v>45668</v>
      </c>
      <c r="F94" t="s">
        <v>46</v>
      </c>
      <c r="G94">
        <v>4</v>
      </c>
      <c r="H94" t="s">
        <v>60</v>
      </c>
      <c r="I9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9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45669</v>
      </c>
      <c r="K94" s="2" t="str">
        <f>IFERROR(IF(_xlfn.MINIFS(tblActivities[Activity_Date],tblActivities[Activity_Type],"Hired",tblActivities[Candidate_ID],Data_Model[[#This Row],[Candidate_ID]])=0,"",_xlfn.MINIFS(tblActivities[Activity_Date],tblActivities[Activity_Type],"Hired",tblActivities[Candidate_ID],Data_Model[[#This Row],[Candidate_ID]])),"")</f>
        <v/>
      </c>
      <c r="L94">
        <f>IF(Data_Model[[#This Row],[Submission_Date]]="",0,1)</f>
        <v>0</v>
      </c>
      <c r="M94">
        <f>IF(Data_Model[[#This Row],[Interview_Date]]="",0,1)</f>
        <v>1</v>
      </c>
      <c r="N94">
        <f>IF(Data_Model[[#This Row],[Hire_Date]]="",0,1)</f>
        <v>0</v>
      </c>
      <c r="O94" t="str">
        <f>IF(OR(Data_Model[ [#This Row],[Submission_Date] ]= "",Data_Model[[#This Row],[Resume_Date]] = "",Data_Model[[#This Row],[Submission_Date]] &lt; Data_Model[[#This Row],[Resume_Date]]), "",Data_Model[[#This Row],[Submission_Date]] - Data_Model[[#This Row],[Resume_Date]])</f>
        <v/>
      </c>
      <c r="P94" t="str">
        <f>IF(OR(Data_Model[[#This Row],[Submission_Date]]="",Data_Model[[#This Row],[Interview_Date]]="",Data_Model[[#This Row],[Interview_Date]] &lt; Data_Model[[#This Row],[Submission_Date]]),"",Data_Model[[#This Row],[Interview_Date]]-Data_Model[[#This Row],[Submission_Date]])</f>
        <v/>
      </c>
      <c r="Q94" s="4" t="str">
        <f>IF(OR(Data_Model[[#This Row],[Submission_Date]]="",Data_Model[[#This Row],[Hire_Date]]="",Data_Model[[#This Row],[Hire_Date]] &lt; Data_Model[[#This Row],[Submission_Date]]),"",Data_Model[[#This Row],[Hire_Date]]-Data_Model[[#This Row],[Submission_Date]])</f>
        <v/>
      </c>
      <c r="R94" s="4">
        <f>IF(AND(Data_Model[[#This Row],[Submission_Flag]]=1,Data_Model[[#This Row],[Hire_Flag]]=1,Data_Model[[#This Row],[Hire_Date]]&lt;Data_Model[[#This Row],[Submission_Date]]),1,0)</f>
        <v>0</v>
      </c>
    </row>
    <row r="95" spans="1:18" x14ac:dyDescent="0.25">
      <c r="A95" t="s">
        <v>144</v>
      </c>
      <c r="B95" t="s">
        <v>10</v>
      </c>
      <c r="C95" t="s">
        <v>45</v>
      </c>
      <c r="D95" t="s">
        <v>39</v>
      </c>
      <c r="E95" s="2">
        <v>45668</v>
      </c>
      <c r="F95" t="s">
        <v>62</v>
      </c>
      <c r="G95">
        <v>10</v>
      </c>
      <c r="H95" t="s">
        <v>57</v>
      </c>
      <c r="I9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9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95" s="2" t="str">
        <f>IFERROR(IF(_xlfn.MINIFS(tblActivities[Activity_Date],tblActivities[Activity_Type],"Hired",tblActivities[Candidate_ID],Data_Model[[#This Row],[Candidate_ID]])=0,"",_xlfn.MINIFS(tblActivities[Activity_Date],tblActivities[Activity_Type],"Hired",tblActivities[Candidate_ID],Data_Model[[#This Row],[Candidate_ID]])),"")</f>
        <v/>
      </c>
      <c r="L95">
        <f>IF(Data_Model[[#This Row],[Submission_Date]]="",0,1)</f>
        <v>0</v>
      </c>
      <c r="M95">
        <f>IF(Data_Model[[#This Row],[Interview_Date]]="",0,1)</f>
        <v>0</v>
      </c>
      <c r="N95">
        <f>IF(Data_Model[[#This Row],[Hire_Date]]="",0,1)</f>
        <v>0</v>
      </c>
      <c r="O95" t="str">
        <f>IF(OR(Data_Model[ [#This Row],[Submission_Date] ]= "",Data_Model[[#This Row],[Resume_Date]] = "",Data_Model[[#This Row],[Submission_Date]] &lt; Data_Model[[#This Row],[Resume_Date]]), "",Data_Model[[#This Row],[Submission_Date]] - Data_Model[[#This Row],[Resume_Date]])</f>
        <v/>
      </c>
      <c r="P95" t="str">
        <f>IF(OR(Data_Model[[#This Row],[Submission_Date]]="",Data_Model[[#This Row],[Interview_Date]]="",Data_Model[[#This Row],[Interview_Date]] &lt; Data_Model[[#This Row],[Submission_Date]]),"",Data_Model[[#This Row],[Interview_Date]]-Data_Model[[#This Row],[Submission_Date]])</f>
        <v/>
      </c>
      <c r="Q95" s="4" t="str">
        <f>IF(OR(Data_Model[[#This Row],[Submission_Date]]="",Data_Model[[#This Row],[Hire_Date]]="",Data_Model[[#This Row],[Hire_Date]] &lt; Data_Model[[#This Row],[Submission_Date]]),"",Data_Model[[#This Row],[Hire_Date]]-Data_Model[[#This Row],[Submission_Date]])</f>
        <v/>
      </c>
      <c r="R95" s="4">
        <f>IF(AND(Data_Model[[#This Row],[Submission_Flag]]=1,Data_Model[[#This Row],[Hire_Flag]]=1,Data_Model[[#This Row],[Hire_Date]]&lt;Data_Model[[#This Row],[Submission_Date]]),1,0)</f>
        <v>0</v>
      </c>
    </row>
    <row r="96" spans="1:18" x14ac:dyDescent="0.25">
      <c r="A96" t="s">
        <v>145</v>
      </c>
      <c r="B96" t="s">
        <v>20</v>
      </c>
      <c r="C96" t="s">
        <v>49</v>
      </c>
      <c r="D96" t="s">
        <v>52</v>
      </c>
      <c r="E96" s="2">
        <v>45666</v>
      </c>
      <c r="F96" t="s">
        <v>62</v>
      </c>
      <c r="G96">
        <v>8</v>
      </c>
      <c r="H96" t="s">
        <v>57</v>
      </c>
      <c r="I9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9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45678</v>
      </c>
      <c r="K96" s="2" t="str">
        <f>IFERROR(IF(_xlfn.MINIFS(tblActivities[Activity_Date],tblActivities[Activity_Type],"Hired",tblActivities[Candidate_ID],Data_Model[[#This Row],[Candidate_ID]])=0,"",_xlfn.MINIFS(tblActivities[Activity_Date],tblActivities[Activity_Type],"Hired",tblActivities[Candidate_ID],Data_Model[[#This Row],[Candidate_ID]])),"")</f>
        <v/>
      </c>
      <c r="L96">
        <f>IF(Data_Model[[#This Row],[Submission_Date]]="",0,1)</f>
        <v>0</v>
      </c>
      <c r="M96">
        <f>IF(Data_Model[[#This Row],[Interview_Date]]="",0,1)</f>
        <v>1</v>
      </c>
      <c r="N96">
        <f>IF(Data_Model[[#This Row],[Hire_Date]]="",0,1)</f>
        <v>0</v>
      </c>
      <c r="O96" t="str">
        <f>IF(OR(Data_Model[ [#This Row],[Submission_Date] ]= "",Data_Model[[#This Row],[Resume_Date]] = "",Data_Model[[#This Row],[Submission_Date]] &lt; Data_Model[[#This Row],[Resume_Date]]), "",Data_Model[[#This Row],[Submission_Date]] - Data_Model[[#This Row],[Resume_Date]])</f>
        <v/>
      </c>
      <c r="P96" t="str">
        <f>IF(OR(Data_Model[[#This Row],[Submission_Date]]="",Data_Model[[#This Row],[Interview_Date]]="",Data_Model[[#This Row],[Interview_Date]] &lt; Data_Model[[#This Row],[Submission_Date]]),"",Data_Model[[#This Row],[Interview_Date]]-Data_Model[[#This Row],[Submission_Date]])</f>
        <v/>
      </c>
      <c r="Q96" s="4" t="str">
        <f>IF(OR(Data_Model[[#This Row],[Submission_Date]]="",Data_Model[[#This Row],[Hire_Date]]="",Data_Model[[#This Row],[Hire_Date]] &lt; Data_Model[[#This Row],[Submission_Date]]),"",Data_Model[[#This Row],[Hire_Date]]-Data_Model[[#This Row],[Submission_Date]])</f>
        <v/>
      </c>
      <c r="R96" s="4">
        <f>IF(AND(Data_Model[[#This Row],[Submission_Flag]]=1,Data_Model[[#This Row],[Hire_Flag]]=1,Data_Model[[#This Row],[Hire_Date]]&lt;Data_Model[[#This Row],[Submission_Date]]),1,0)</f>
        <v>0</v>
      </c>
    </row>
    <row r="97" spans="1:18" x14ac:dyDescent="0.25">
      <c r="A97" t="s">
        <v>146</v>
      </c>
      <c r="B97" t="s">
        <v>16</v>
      </c>
      <c r="C97" t="s">
        <v>38</v>
      </c>
      <c r="D97" t="s">
        <v>50</v>
      </c>
      <c r="E97" s="2">
        <v>45661</v>
      </c>
      <c r="F97" t="s">
        <v>62</v>
      </c>
      <c r="G97">
        <v>1</v>
      </c>
      <c r="H97" t="s">
        <v>36</v>
      </c>
      <c r="I97"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9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97" s="2" t="str">
        <f>IFERROR(IF(_xlfn.MINIFS(tblActivities[Activity_Date],tblActivities[Activity_Type],"Hired",tblActivities[Candidate_ID],Data_Model[[#This Row],[Candidate_ID]])=0,"",_xlfn.MINIFS(tblActivities[Activity_Date],tblActivities[Activity_Type],"Hired",tblActivities[Candidate_ID],Data_Model[[#This Row],[Candidate_ID]])),"")</f>
        <v/>
      </c>
      <c r="L97">
        <f>IF(Data_Model[[#This Row],[Submission_Date]]="",0,1)</f>
        <v>0</v>
      </c>
      <c r="M97">
        <f>IF(Data_Model[[#This Row],[Interview_Date]]="",0,1)</f>
        <v>0</v>
      </c>
      <c r="N97">
        <f>IF(Data_Model[[#This Row],[Hire_Date]]="",0,1)</f>
        <v>0</v>
      </c>
      <c r="O97" t="str">
        <f>IF(OR(Data_Model[ [#This Row],[Submission_Date] ]= "",Data_Model[[#This Row],[Resume_Date]] = "",Data_Model[[#This Row],[Submission_Date]] &lt; Data_Model[[#This Row],[Resume_Date]]), "",Data_Model[[#This Row],[Submission_Date]] - Data_Model[[#This Row],[Resume_Date]])</f>
        <v/>
      </c>
      <c r="P97" t="str">
        <f>IF(OR(Data_Model[[#This Row],[Submission_Date]]="",Data_Model[[#This Row],[Interview_Date]]="",Data_Model[[#This Row],[Interview_Date]] &lt; Data_Model[[#This Row],[Submission_Date]]),"",Data_Model[[#This Row],[Interview_Date]]-Data_Model[[#This Row],[Submission_Date]])</f>
        <v/>
      </c>
      <c r="Q97" s="4" t="str">
        <f>IF(OR(Data_Model[[#This Row],[Submission_Date]]="",Data_Model[[#This Row],[Hire_Date]]="",Data_Model[[#This Row],[Hire_Date]] &lt; Data_Model[[#This Row],[Submission_Date]]),"",Data_Model[[#This Row],[Hire_Date]]-Data_Model[[#This Row],[Submission_Date]])</f>
        <v/>
      </c>
      <c r="R97" s="4">
        <f>IF(AND(Data_Model[[#This Row],[Submission_Flag]]=1,Data_Model[[#This Row],[Hire_Flag]]=1,Data_Model[[#This Row],[Hire_Date]]&lt;Data_Model[[#This Row],[Submission_Date]]),1,0)</f>
        <v>0</v>
      </c>
    </row>
    <row r="98" spans="1:18" x14ac:dyDescent="0.25">
      <c r="A98" t="s">
        <v>147</v>
      </c>
      <c r="B98" t="s">
        <v>22</v>
      </c>
      <c r="C98" t="s">
        <v>33</v>
      </c>
      <c r="D98" t="s">
        <v>34</v>
      </c>
      <c r="E98" s="2">
        <v>45676</v>
      </c>
      <c r="F98" t="s">
        <v>40</v>
      </c>
      <c r="G98">
        <v>3</v>
      </c>
      <c r="H98" t="s">
        <v>36</v>
      </c>
      <c r="I98"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45673</v>
      </c>
      <c r="J9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98" s="2" t="str">
        <f>IFERROR(IF(_xlfn.MINIFS(tblActivities[Activity_Date],tblActivities[Activity_Type],"Hired",tblActivities[Candidate_ID],Data_Model[[#This Row],[Candidate_ID]])=0,"",_xlfn.MINIFS(tblActivities[Activity_Date],tblActivities[Activity_Type],"Hired",tblActivities[Candidate_ID],Data_Model[[#This Row],[Candidate_ID]])),"")</f>
        <v/>
      </c>
      <c r="L98">
        <f>IF(Data_Model[[#This Row],[Submission_Date]]="",0,1)</f>
        <v>1</v>
      </c>
      <c r="M98">
        <f>IF(Data_Model[[#This Row],[Interview_Date]]="",0,1)</f>
        <v>0</v>
      </c>
      <c r="N98">
        <f>IF(Data_Model[[#This Row],[Hire_Date]]="",0,1)</f>
        <v>0</v>
      </c>
      <c r="O98" t="str">
        <f>IF(OR(Data_Model[ [#This Row],[Submission_Date] ]= "",Data_Model[[#This Row],[Resume_Date]] = "",Data_Model[[#This Row],[Submission_Date]] &lt; Data_Model[[#This Row],[Resume_Date]]), "",Data_Model[[#This Row],[Submission_Date]] - Data_Model[[#This Row],[Resume_Date]])</f>
        <v/>
      </c>
      <c r="P98" t="str">
        <f>IF(OR(Data_Model[[#This Row],[Submission_Date]]="",Data_Model[[#This Row],[Interview_Date]]="",Data_Model[[#This Row],[Interview_Date]] &lt; Data_Model[[#This Row],[Submission_Date]]),"",Data_Model[[#This Row],[Interview_Date]]-Data_Model[[#This Row],[Submission_Date]])</f>
        <v/>
      </c>
      <c r="Q98" s="4" t="str">
        <f>IF(OR(Data_Model[[#This Row],[Submission_Date]]="",Data_Model[[#This Row],[Hire_Date]]="",Data_Model[[#This Row],[Hire_Date]] &lt; Data_Model[[#This Row],[Submission_Date]]),"",Data_Model[[#This Row],[Hire_Date]]-Data_Model[[#This Row],[Submission_Date]])</f>
        <v/>
      </c>
      <c r="R98" s="4">
        <f>IF(AND(Data_Model[[#This Row],[Submission_Flag]]=1,Data_Model[[#This Row],[Hire_Flag]]=1,Data_Model[[#This Row],[Hire_Date]]&lt;Data_Model[[#This Row],[Submission_Date]]),1,0)</f>
        <v>0</v>
      </c>
    </row>
    <row r="99" spans="1:18" x14ac:dyDescent="0.25">
      <c r="A99" t="s">
        <v>148</v>
      </c>
      <c r="B99" t="s">
        <v>20</v>
      </c>
      <c r="C99" t="s">
        <v>38</v>
      </c>
      <c r="D99" t="s">
        <v>42</v>
      </c>
      <c r="E99" s="2">
        <v>45667</v>
      </c>
      <c r="F99" t="s">
        <v>46</v>
      </c>
      <c r="G99">
        <v>4</v>
      </c>
      <c r="H99" t="s">
        <v>36</v>
      </c>
      <c r="I9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9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45675</v>
      </c>
      <c r="K99" s="2">
        <f>IFERROR(IF(_xlfn.MINIFS(tblActivities[Activity_Date],tblActivities[Activity_Type],"Hired",tblActivities[Candidate_ID],Data_Model[[#This Row],[Candidate_ID]])=0,"",_xlfn.MINIFS(tblActivities[Activity_Date],tblActivities[Activity_Type],"Hired",tblActivities[Candidate_ID],Data_Model[[#This Row],[Candidate_ID]])),"")</f>
        <v>45671</v>
      </c>
      <c r="L99">
        <f>IF(Data_Model[[#This Row],[Submission_Date]]="",0,1)</f>
        <v>0</v>
      </c>
      <c r="M99">
        <f>IF(Data_Model[[#This Row],[Interview_Date]]="",0,1)</f>
        <v>1</v>
      </c>
      <c r="N99">
        <f>IF(Data_Model[[#This Row],[Hire_Date]]="",0,1)</f>
        <v>1</v>
      </c>
      <c r="O99" t="str">
        <f>IF(OR(Data_Model[ [#This Row],[Submission_Date] ]= "",Data_Model[[#This Row],[Resume_Date]] = "",Data_Model[[#This Row],[Submission_Date]] &lt; Data_Model[[#This Row],[Resume_Date]]), "",Data_Model[[#This Row],[Submission_Date]] - Data_Model[[#This Row],[Resume_Date]])</f>
        <v/>
      </c>
      <c r="P99" t="str">
        <f>IF(OR(Data_Model[[#This Row],[Submission_Date]]="",Data_Model[[#This Row],[Interview_Date]]="",Data_Model[[#This Row],[Interview_Date]] &lt; Data_Model[[#This Row],[Submission_Date]]),"",Data_Model[[#This Row],[Interview_Date]]-Data_Model[[#This Row],[Submission_Date]])</f>
        <v/>
      </c>
      <c r="Q99" s="4" t="str">
        <f>IF(OR(Data_Model[[#This Row],[Submission_Date]]="",Data_Model[[#This Row],[Hire_Date]]="",Data_Model[[#This Row],[Hire_Date]] &lt; Data_Model[[#This Row],[Submission_Date]]),"",Data_Model[[#This Row],[Hire_Date]]-Data_Model[[#This Row],[Submission_Date]])</f>
        <v/>
      </c>
      <c r="R99" s="4">
        <f>IF(AND(Data_Model[[#This Row],[Submission_Flag]]=1,Data_Model[[#This Row],[Hire_Flag]]=1,Data_Model[[#This Row],[Hire_Date]]&lt;Data_Model[[#This Row],[Submission_Date]]),1,0)</f>
        <v>0</v>
      </c>
    </row>
    <row r="100" spans="1:18" x14ac:dyDescent="0.25">
      <c r="A100" t="s">
        <v>149</v>
      </c>
      <c r="B100" t="s">
        <v>20</v>
      </c>
      <c r="C100" t="s">
        <v>38</v>
      </c>
      <c r="D100" t="s">
        <v>50</v>
      </c>
      <c r="E100" s="2">
        <v>45672</v>
      </c>
      <c r="F100" t="s">
        <v>64</v>
      </c>
      <c r="G100">
        <v>6</v>
      </c>
      <c r="H100" t="s">
        <v>47</v>
      </c>
      <c r="I10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00" s="2">
        <f>IFERROR(IF(_xlfn.MINIFS(tblActivities[Activity_Date],tblActivities[Activity_Type],"Hired",tblActivities[Candidate_ID],Data_Model[[#This Row],[Candidate_ID]])=0,"",_xlfn.MINIFS(tblActivities[Activity_Date],tblActivities[Activity_Type],"Hired",tblActivities[Candidate_ID],Data_Model[[#This Row],[Candidate_ID]])),"")</f>
        <v>45682</v>
      </c>
      <c r="L100">
        <f>IF(Data_Model[[#This Row],[Submission_Date]]="",0,1)</f>
        <v>0</v>
      </c>
      <c r="M100">
        <f>IF(Data_Model[[#This Row],[Interview_Date]]="",0,1)</f>
        <v>0</v>
      </c>
      <c r="N100">
        <f>IF(Data_Model[[#This Row],[Hire_Date]]="",0,1)</f>
        <v>1</v>
      </c>
      <c r="O100" t="str">
        <f>IF(OR(Data_Model[ [#This Row],[Submission_Date] ]= "",Data_Model[[#This Row],[Resume_Date]] = "",Data_Model[[#This Row],[Submission_Date]] &lt; Data_Model[[#This Row],[Resume_Date]]), "",Data_Model[[#This Row],[Submission_Date]] - Data_Model[[#This Row],[Resume_Date]])</f>
        <v/>
      </c>
      <c r="P100" t="str">
        <f>IF(OR(Data_Model[[#This Row],[Submission_Date]]="",Data_Model[[#This Row],[Interview_Date]]="",Data_Model[[#This Row],[Interview_Date]] &lt; Data_Model[[#This Row],[Submission_Date]]),"",Data_Model[[#This Row],[Interview_Date]]-Data_Model[[#This Row],[Submission_Date]])</f>
        <v/>
      </c>
      <c r="Q100" s="4" t="str">
        <f>IF(OR(Data_Model[[#This Row],[Submission_Date]]="",Data_Model[[#This Row],[Hire_Date]]="",Data_Model[[#This Row],[Hire_Date]] &lt; Data_Model[[#This Row],[Submission_Date]]),"",Data_Model[[#This Row],[Hire_Date]]-Data_Model[[#This Row],[Submission_Date]])</f>
        <v/>
      </c>
      <c r="R100" s="4">
        <f>IF(AND(Data_Model[[#This Row],[Submission_Flag]]=1,Data_Model[[#This Row],[Hire_Flag]]=1,Data_Model[[#This Row],[Hire_Date]]&lt;Data_Model[[#This Row],[Submission_Date]]),1,0)</f>
        <v>0</v>
      </c>
    </row>
    <row r="101" spans="1:18" x14ac:dyDescent="0.25">
      <c r="A101" t="s">
        <v>150</v>
      </c>
      <c r="B101" t="s">
        <v>20</v>
      </c>
      <c r="C101" t="s">
        <v>49</v>
      </c>
      <c r="D101" t="s">
        <v>39</v>
      </c>
      <c r="E101" s="2">
        <v>45663</v>
      </c>
      <c r="F101" t="s">
        <v>46</v>
      </c>
      <c r="G101">
        <v>10</v>
      </c>
      <c r="H101" t="s">
        <v>57</v>
      </c>
      <c r="I10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01" s="2" t="str">
        <f>IFERROR(IF(_xlfn.MINIFS(tblActivities[Activity_Date],tblActivities[Activity_Type],"Hired",tblActivities[Candidate_ID],Data_Model[[#This Row],[Candidate_ID]])=0,"",_xlfn.MINIFS(tblActivities[Activity_Date],tblActivities[Activity_Type],"Hired",tblActivities[Candidate_ID],Data_Model[[#This Row],[Candidate_ID]])),"")</f>
        <v/>
      </c>
      <c r="L101">
        <f>IF(Data_Model[[#This Row],[Submission_Date]]="",0,1)</f>
        <v>0</v>
      </c>
      <c r="M101">
        <f>IF(Data_Model[[#This Row],[Interview_Date]]="",0,1)</f>
        <v>0</v>
      </c>
      <c r="N101">
        <f>IF(Data_Model[[#This Row],[Hire_Date]]="",0,1)</f>
        <v>0</v>
      </c>
      <c r="O101" t="str">
        <f>IF(OR(Data_Model[ [#This Row],[Submission_Date] ]= "",Data_Model[[#This Row],[Resume_Date]] = "",Data_Model[[#This Row],[Submission_Date]] &lt; Data_Model[[#This Row],[Resume_Date]]), "",Data_Model[[#This Row],[Submission_Date]] - Data_Model[[#This Row],[Resume_Date]])</f>
        <v/>
      </c>
      <c r="P101" t="str">
        <f>IF(OR(Data_Model[[#This Row],[Submission_Date]]="",Data_Model[[#This Row],[Interview_Date]]="",Data_Model[[#This Row],[Interview_Date]] &lt; Data_Model[[#This Row],[Submission_Date]]),"",Data_Model[[#This Row],[Interview_Date]]-Data_Model[[#This Row],[Submission_Date]])</f>
        <v/>
      </c>
      <c r="Q101" s="4" t="str">
        <f>IF(OR(Data_Model[[#This Row],[Submission_Date]]="",Data_Model[[#This Row],[Hire_Date]]="",Data_Model[[#This Row],[Hire_Date]] &lt; Data_Model[[#This Row],[Submission_Date]]),"",Data_Model[[#This Row],[Hire_Date]]-Data_Model[[#This Row],[Submission_Date]])</f>
        <v/>
      </c>
      <c r="R101" s="4">
        <f>IF(AND(Data_Model[[#This Row],[Submission_Flag]]=1,Data_Model[[#This Row],[Hire_Flag]]=1,Data_Model[[#This Row],[Hire_Date]]&lt;Data_Model[[#This Row],[Submission_Date]]),1,0)</f>
        <v>0</v>
      </c>
    </row>
    <row r="102" spans="1:18" x14ac:dyDescent="0.25">
      <c r="A102" t="s">
        <v>151</v>
      </c>
      <c r="B102" t="s">
        <v>17</v>
      </c>
      <c r="C102" t="s">
        <v>49</v>
      </c>
      <c r="D102" t="s">
        <v>39</v>
      </c>
      <c r="E102" s="2">
        <v>45660</v>
      </c>
      <c r="F102" t="s">
        <v>64</v>
      </c>
      <c r="G102">
        <v>3</v>
      </c>
      <c r="H102" t="s">
        <v>57</v>
      </c>
      <c r="I10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45684</v>
      </c>
      <c r="K102" s="2" t="str">
        <f>IFERROR(IF(_xlfn.MINIFS(tblActivities[Activity_Date],tblActivities[Activity_Type],"Hired",tblActivities[Candidate_ID],Data_Model[[#This Row],[Candidate_ID]])=0,"",_xlfn.MINIFS(tblActivities[Activity_Date],tblActivities[Activity_Type],"Hired",tblActivities[Candidate_ID],Data_Model[[#This Row],[Candidate_ID]])),"")</f>
        <v/>
      </c>
      <c r="L102">
        <f>IF(Data_Model[[#This Row],[Submission_Date]]="",0,1)</f>
        <v>0</v>
      </c>
      <c r="M102">
        <f>IF(Data_Model[[#This Row],[Interview_Date]]="",0,1)</f>
        <v>1</v>
      </c>
      <c r="N102">
        <f>IF(Data_Model[[#This Row],[Hire_Date]]="",0,1)</f>
        <v>0</v>
      </c>
      <c r="O102" t="str">
        <f>IF(OR(Data_Model[ [#This Row],[Submission_Date] ]= "",Data_Model[[#This Row],[Resume_Date]] = "",Data_Model[[#This Row],[Submission_Date]] &lt; Data_Model[[#This Row],[Resume_Date]]), "",Data_Model[[#This Row],[Submission_Date]] - Data_Model[[#This Row],[Resume_Date]])</f>
        <v/>
      </c>
      <c r="P102" t="str">
        <f>IF(OR(Data_Model[[#This Row],[Submission_Date]]="",Data_Model[[#This Row],[Interview_Date]]="",Data_Model[[#This Row],[Interview_Date]] &lt; Data_Model[[#This Row],[Submission_Date]]),"",Data_Model[[#This Row],[Interview_Date]]-Data_Model[[#This Row],[Submission_Date]])</f>
        <v/>
      </c>
      <c r="Q102" s="4" t="str">
        <f>IF(OR(Data_Model[[#This Row],[Submission_Date]]="",Data_Model[[#This Row],[Hire_Date]]="",Data_Model[[#This Row],[Hire_Date]] &lt; Data_Model[[#This Row],[Submission_Date]]),"",Data_Model[[#This Row],[Hire_Date]]-Data_Model[[#This Row],[Submission_Date]])</f>
        <v/>
      </c>
      <c r="R102" s="4">
        <f>IF(AND(Data_Model[[#This Row],[Submission_Flag]]=1,Data_Model[[#This Row],[Hire_Flag]]=1,Data_Model[[#This Row],[Hire_Date]]&lt;Data_Model[[#This Row],[Submission_Date]]),1,0)</f>
        <v>0</v>
      </c>
    </row>
    <row r="103" spans="1:18" x14ac:dyDescent="0.25">
      <c r="A103" t="s">
        <v>152</v>
      </c>
      <c r="B103" t="s">
        <v>13</v>
      </c>
      <c r="C103" t="s">
        <v>33</v>
      </c>
      <c r="D103" t="s">
        <v>39</v>
      </c>
      <c r="E103" s="2">
        <v>45669</v>
      </c>
      <c r="F103" t="s">
        <v>46</v>
      </c>
      <c r="G103">
        <v>2</v>
      </c>
      <c r="H103" t="s">
        <v>60</v>
      </c>
      <c r="I10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03" s="2" t="str">
        <f>IFERROR(IF(_xlfn.MINIFS(tblActivities[Activity_Date],tblActivities[Activity_Type],"Hired",tblActivities[Candidate_ID],Data_Model[[#This Row],[Candidate_ID]])=0,"",_xlfn.MINIFS(tblActivities[Activity_Date],tblActivities[Activity_Type],"Hired",tblActivities[Candidate_ID],Data_Model[[#This Row],[Candidate_ID]])),"")</f>
        <v/>
      </c>
      <c r="L103">
        <f>IF(Data_Model[[#This Row],[Submission_Date]]="",0,1)</f>
        <v>0</v>
      </c>
      <c r="M103">
        <f>IF(Data_Model[[#This Row],[Interview_Date]]="",0,1)</f>
        <v>0</v>
      </c>
      <c r="N103">
        <f>IF(Data_Model[[#This Row],[Hire_Date]]="",0,1)</f>
        <v>0</v>
      </c>
      <c r="O103" t="str">
        <f>IF(OR(Data_Model[ [#This Row],[Submission_Date] ]= "",Data_Model[[#This Row],[Resume_Date]] = "",Data_Model[[#This Row],[Submission_Date]] &lt; Data_Model[[#This Row],[Resume_Date]]), "",Data_Model[[#This Row],[Submission_Date]] - Data_Model[[#This Row],[Resume_Date]])</f>
        <v/>
      </c>
      <c r="P103" t="str">
        <f>IF(OR(Data_Model[[#This Row],[Submission_Date]]="",Data_Model[[#This Row],[Interview_Date]]="",Data_Model[[#This Row],[Interview_Date]] &lt; Data_Model[[#This Row],[Submission_Date]]),"",Data_Model[[#This Row],[Interview_Date]]-Data_Model[[#This Row],[Submission_Date]])</f>
        <v/>
      </c>
      <c r="Q103" s="4" t="str">
        <f>IF(OR(Data_Model[[#This Row],[Submission_Date]]="",Data_Model[[#This Row],[Hire_Date]]="",Data_Model[[#This Row],[Hire_Date]] &lt; Data_Model[[#This Row],[Submission_Date]]),"",Data_Model[[#This Row],[Hire_Date]]-Data_Model[[#This Row],[Submission_Date]])</f>
        <v/>
      </c>
      <c r="R103" s="4">
        <f>IF(AND(Data_Model[[#This Row],[Submission_Flag]]=1,Data_Model[[#This Row],[Hire_Flag]]=1,Data_Model[[#This Row],[Hire_Date]]&lt;Data_Model[[#This Row],[Submission_Date]]),1,0)</f>
        <v>0</v>
      </c>
    </row>
    <row r="104" spans="1:18" x14ac:dyDescent="0.25">
      <c r="A104" t="s">
        <v>153</v>
      </c>
      <c r="B104" t="s">
        <v>16</v>
      </c>
      <c r="C104" t="s">
        <v>38</v>
      </c>
      <c r="D104" t="s">
        <v>52</v>
      </c>
      <c r="E104" s="2">
        <v>45664</v>
      </c>
      <c r="F104" t="s">
        <v>40</v>
      </c>
      <c r="G104">
        <v>4</v>
      </c>
      <c r="H104" t="s">
        <v>57</v>
      </c>
      <c r="I10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45682</v>
      </c>
      <c r="K104" s="2">
        <f>IFERROR(IF(_xlfn.MINIFS(tblActivities[Activity_Date],tblActivities[Activity_Type],"Hired",tblActivities[Candidate_ID],Data_Model[[#This Row],[Candidate_ID]])=0,"",_xlfn.MINIFS(tblActivities[Activity_Date],tblActivities[Activity_Type],"Hired",tblActivities[Candidate_ID],Data_Model[[#This Row],[Candidate_ID]])),"")</f>
        <v>45677</v>
      </c>
      <c r="L104">
        <f>IF(Data_Model[[#This Row],[Submission_Date]]="",0,1)</f>
        <v>0</v>
      </c>
      <c r="M104">
        <f>IF(Data_Model[[#This Row],[Interview_Date]]="",0,1)</f>
        <v>1</v>
      </c>
      <c r="N104">
        <f>IF(Data_Model[[#This Row],[Hire_Date]]="",0,1)</f>
        <v>1</v>
      </c>
      <c r="O104" t="str">
        <f>IF(OR(Data_Model[ [#This Row],[Submission_Date] ]= "",Data_Model[[#This Row],[Resume_Date]] = "",Data_Model[[#This Row],[Submission_Date]] &lt; Data_Model[[#This Row],[Resume_Date]]), "",Data_Model[[#This Row],[Submission_Date]] - Data_Model[[#This Row],[Resume_Date]])</f>
        <v/>
      </c>
      <c r="P104" t="str">
        <f>IF(OR(Data_Model[[#This Row],[Submission_Date]]="",Data_Model[[#This Row],[Interview_Date]]="",Data_Model[[#This Row],[Interview_Date]] &lt; Data_Model[[#This Row],[Submission_Date]]),"",Data_Model[[#This Row],[Interview_Date]]-Data_Model[[#This Row],[Submission_Date]])</f>
        <v/>
      </c>
      <c r="Q104" s="4" t="str">
        <f>IF(OR(Data_Model[[#This Row],[Submission_Date]]="",Data_Model[[#This Row],[Hire_Date]]="",Data_Model[[#This Row],[Hire_Date]] &lt; Data_Model[[#This Row],[Submission_Date]]),"",Data_Model[[#This Row],[Hire_Date]]-Data_Model[[#This Row],[Submission_Date]])</f>
        <v/>
      </c>
      <c r="R104" s="4">
        <f>IF(AND(Data_Model[[#This Row],[Submission_Flag]]=1,Data_Model[[#This Row],[Hire_Flag]]=1,Data_Model[[#This Row],[Hire_Date]]&lt;Data_Model[[#This Row],[Submission_Date]]),1,0)</f>
        <v>0</v>
      </c>
    </row>
    <row r="105" spans="1:18" x14ac:dyDescent="0.25">
      <c r="A105" t="s">
        <v>154</v>
      </c>
      <c r="B105" t="s">
        <v>13</v>
      </c>
      <c r="C105" t="s">
        <v>33</v>
      </c>
      <c r="D105" t="s">
        <v>52</v>
      </c>
      <c r="E105" s="2">
        <v>45664</v>
      </c>
      <c r="F105" t="s">
        <v>62</v>
      </c>
      <c r="G105">
        <v>7</v>
      </c>
      <c r="H105" t="s">
        <v>60</v>
      </c>
      <c r="I10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05" s="2">
        <f>IFERROR(IF(_xlfn.MINIFS(tblActivities[Activity_Date],tblActivities[Activity_Type],"Hired",tblActivities[Candidate_ID],Data_Model[[#This Row],[Candidate_ID]])=0,"",_xlfn.MINIFS(tblActivities[Activity_Date],tblActivities[Activity_Type],"Hired",tblActivities[Candidate_ID],Data_Model[[#This Row],[Candidate_ID]])),"")</f>
        <v>45683</v>
      </c>
      <c r="L105">
        <f>IF(Data_Model[[#This Row],[Submission_Date]]="",0,1)</f>
        <v>0</v>
      </c>
      <c r="M105">
        <f>IF(Data_Model[[#This Row],[Interview_Date]]="",0,1)</f>
        <v>0</v>
      </c>
      <c r="N105">
        <f>IF(Data_Model[[#This Row],[Hire_Date]]="",0,1)</f>
        <v>1</v>
      </c>
      <c r="O105" t="str">
        <f>IF(OR(Data_Model[ [#This Row],[Submission_Date] ]= "",Data_Model[[#This Row],[Resume_Date]] = "",Data_Model[[#This Row],[Submission_Date]] &lt; Data_Model[[#This Row],[Resume_Date]]), "",Data_Model[[#This Row],[Submission_Date]] - Data_Model[[#This Row],[Resume_Date]])</f>
        <v/>
      </c>
      <c r="P105" t="str">
        <f>IF(OR(Data_Model[[#This Row],[Submission_Date]]="",Data_Model[[#This Row],[Interview_Date]]="",Data_Model[[#This Row],[Interview_Date]] &lt; Data_Model[[#This Row],[Submission_Date]]),"",Data_Model[[#This Row],[Interview_Date]]-Data_Model[[#This Row],[Submission_Date]])</f>
        <v/>
      </c>
      <c r="Q105" s="4" t="str">
        <f>IF(OR(Data_Model[[#This Row],[Submission_Date]]="",Data_Model[[#This Row],[Hire_Date]]="",Data_Model[[#This Row],[Hire_Date]] &lt; Data_Model[[#This Row],[Submission_Date]]),"",Data_Model[[#This Row],[Hire_Date]]-Data_Model[[#This Row],[Submission_Date]])</f>
        <v/>
      </c>
      <c r="R105" s="4">
        <f>IF(AND(Data_Model[[#This Row],[Submission_Flag]]=1,Data_Model[[#This Row],[Hire_Flag]]=1,Data_Model[[#This Row],[Hire_Date]]&lt;Data_Model[[#This Row],[Submission_Date]]),1,0)</f>
        <v>0</v>
      </c>
    </row>
    <row r="106" spans="1:18" x14ac:dyDescent="0.25">
      <c r="A106" t="s">
        <v>155</v>
      </c>
      <c r="B106" t="s">
        <v>24</v>
      </c>
      <c r="C106" t="s">
        <v>38</v>
      </c>
      <c r="D106" t="s">
        <v>52</v>
      </c>
      <c r="E106" s="2">
        <v>45658</v>
      </c>
      <c r="F106" t="s">
        <v>64</v>
      </c>
      <c r="G106">
        <v>9</v>
      </c>
      <c r="H106" t="s">
        <v>36</v>
      </c>
      <c r="I10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45666</v>
      </c>
      <c r="K106" s="2" t="str">
        <f>IFERROR(IF(_xlfn.MINIFS(tblActivities[Activity_Date],tblActivities[Activity_Type],"Hired",tblActivities[Candidate_ID],Data_Model[[#This Row],[Candidate_ID]])=0,"",_xlfn.MINIFS(tblActivities[Activity_Date],tblActivities[Activity_Type],"Hired",tblActivities[Candidate_ID],Data_Model[[#This Row],[Candidate_ID]])),"")</f>
        <v/>
      </c>
      <c r="L106">
        <f>IF(Data_Model[[#This Row],[Submission_Date]]="",0,1)</f>
        <v>0</v>
      </c>
      <c r="M106">
        <f>IF(Data_Model[[#This Row],[Interview_Date]]="",0,1)</f>
        <v>1</v>
      </c>
      <c r="N106">
        <f>IF(Data_Model[[#This Row],[Hire_Date]]="",0,1)</f>
        <v>0</v>
      </c>
      <c r="O106" t="str">
        <f>IF(OR(Data_Model[ [#This Row],[Submission_Date] ]= "",Data_Model[[#This Row],[Resume_Date]] = "",Data_Model[[#This Row],[Submission_Date]] &lt; Data_Model[[#This Row],[Resume_Date]]), "",Data_Model[[#This Row],[Submission_Date]] - Data_Model[[#This Row],[Resume_Date]])</f>
        <v/>
      </c>
      <c r="P106" t="str">
        <f>IF(OR(Data_Model[[#This Row],[Submission_Date]]="",Data_Model[[#This Row],[Interview_Date]]="",Data_Model[[#This Row],[Interview_Date]] &lt; Data_Model[[#This Row],[Submission_Date]]),"",Data_Model[[#This Row],[Interview_Date]]-Data_Model[[#This Row],[Submission_Date]])</f>
        <v/>
      </c>
      <c r="Q106" s="4" t="str">
        <f>IF(OR(Data_Model[[#This Row],[Submission_Date]]="",Data_Model[[#This Row],[Hire_Date]]="",Data_Model[[#This Row],[Hire_Date]] &lt; Data_Model[[#This Row],[Submission_Date]]),"",Data_Model[[#This Row],[Hire_Date]]-Data_Model[[#This Row],[Submission_Date]])</f>
        <v/>
      </c>
      <c r="R106" s="4">
        <f>IF(AND(Data_Model[[#This Row],[Submission_Flag]]=1,Data_Model[[#This Row],[Hire_Flag]]=1,Data_Model[[#This Row],[Hire_Date]]&lt;Data_Model[[#This Row],[Submission_Date]]),1,0)</f>
        <v>0</v>
      </c>
    </row>
    <row r="107" spans="1:18" x14ac:dyDescent="0.25">
      <c r="A107" t="s">
        <v>156</v>
      </c>
      <c r="B107" t="s">
        <v>19</v>
      </c>
      <c r="C107" t="s">
        <v>38</v>
      </c>
      <c r="D107" t="s">
        <v>52</v>
      </c>
      <c r="E107" s="2">
        <v>45676</v>
      </c>
      <c r="F107" t="s">
        <v>35</v>
      </c>
      <c r="G107">
        <v>1</v>
      </c>
      <c r="H107" t="s">
        <v>57</v>
      </c>
      <c r="I107"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45676</v>
      </c>
      <c r="K107" s="2" t="str">
        <f>IFERROR(IF(_xlfn.MINIFS(tblActivities[Activity_Date],tblActivities[Activity_Type],"Hired",tblActivities[Candidate_ID],Data_Model[[#This Row],[Candidate_ID]])=0,"",_xlfn.MINIFS(tblActivities[Activity_Date],tblActivities[Activity_Type],"Hired",tblActivities[Candidate_ID],Data_Model[[#This Row],[Candidate_ID]])),"")</f>
        <v/>
      </c>
      <c r="L107">
        <f>IF(Data_Model[[#This Row],[Submission_Date]]="",0,1)</f>
        <v>0</v>
      </c>
      <c r="M107">
        <f>IF(Data_Model[[#This Row],[Interview_Date]]="",0,1)</f>
        <v>1</v>
      </c>
      <c r="N107">
        <f>IF(Data_Model[[#This Row],[Hire_Date]]="",0,1)</f>
        <v>0</v>
      </c>
      <c r="O107" t="str">
        <f>IF(OR(Data_Model[ [#This Row],[Submission_Date] ]= "",Data_Model[[#This Row],[Resume_Date]] = "",Data_Model[[#This Row],[Submission_Date]] &lt; Data_Model[[#This Row],[Resume_Date]]), "",Data_Model[[#This Row],[Submission_Date]] - Data_Model[[#This Row],[Resume_Date]])</f>
        <v/>
      </c>
      <c r="P107" t="str">
        <f>IF(OR(Data_Model[[#This Row],[Submission_Date]]="",Data_Model[[#This Row],[Interview_Date]]="",Data_Model[[#This Row],[Interview_Date]] &lt; Data_Model[[#This Row],[Submission_Date]]),"",Data_Model[[#This Row],[Interview_Date]]-Data_Model[[#This Row],[Submission_Date]])</f>
        <v/>
      </c>
      <c r="Q107" s="4" t="str">
        <f>IF(OR(Data_Model[[#This Row],[Submission_Date]]="",Data_Model[[#This Row],[Hire_Date]]="",Data_Model[[#This Row],[Hire_Date]] &lt; Data_Model[[#This Row],[Submission_Date]]),"",Data_Model[[#This Row],[Hire_Date]]-Data_Model[[#This Row],[Submission_Date]])</f>
        <v/>
      </c>
      <c r="R107" s="4">
        <f>IF(AND(Data_Model[[#This Row],[Submission_Flag]]=1,Data_Model[[#This Row],[Hire_Flag]]=1,Data_Model[[#This Row],[Hire_Date]]&lt;Data_Model[[#This Row],[Submission_Date]]),1,0)</f>
        <v>0</v>
      </c>
    </row>
    <row r="108" spans="1:18" x14ac:dyDescent="0.25">
      <c r="A108" t="s">
        <v>157</v>
      </c>
      <c r="B108" t="s">
        <v>13</v>
      </c>
      <c r="C108" t="s">
        <v>45</v>
      </c>
      <c r="D108" t="s">
        <v>39</v>
      </c>
      <c r="E108" s="2">
        <v>45676</v>
      </c>
      <c r="F108" t="s">
        <v>64</v>
      </c>
      <c r="G108">
        <v>4</v>
      </c>
      <c r="H108" t="s">
        <v>57</v>
      </c>
      <c r="I10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0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08" s="2" t="str">
        <f>IFERROR(IF(_xlfn.MINIFS(tblActivities[Activity_Date],tblActivities[Activity_Type],"Hired",tblActivities[Candidate_ID],Data_Model[[#This Row],[Candidate_ID]])=0,"",_xlfn.MINIFS(tblActivities[Activity_Date],tblActivities[Activity_Type],"Hired",tblActivities[Candidate_ID],Data_Model[[#This Row],[Candidate_ID]])),"")</f>
        <v/>
      </c>
      <c r="L108">
        <f>IF(Data_Model[[#This Row],[Submission_Date]]="",0,1)</f>
        <v>0</v>
      </c>
      <c r="M108">
        <f>IF(Data_Model[[#This Row],[Interview_Date]]="",0,1)</f>
        <v>0</v>
      </c>
      <c r="N108">
        <f>IF(Data_Model[[#This Row],[Hire_Date]]="",0,1)</f>
        <v>0</v>
      </c>
      <c r="O108" t="str">
        <f>IF(OR(Data_Model[ [#This Row],[Submission_Date] ]= "",Data_Model[[#This Row],[Resume_Date]] = "",Data_Model[[#This Row],[Submission_Date]] &lt; Data_Model[[#This Row],[Resume_Date]]), "",Data_Model[[#This Row],[Submission_Date]] - Data_Model[[#This Row],[Resume_Date]])</f>
        <v/>
      </c>
      <c r="P108" t="str">
        <f>IF(OR(Data_Model[[#This Row],[Submission_Date]]="",Data_Model[[#This Row],[Interview_Date]]="",Data_Model[[#This Row],[Interview_Date]] &lt; Data_Model[[#This Row],[Submission_Date]]),"",Data_Model[[#This Row],[Interview_Date]]-Data_Model[[#This Row],[Submission_Date]])</f>
        <v/>
      </c>
      <c r="Q108" s="4" t="str">
        <f>IF(OR(Data_Model[[#This Row],[Submission_Date]]="",Data_Model[[#This Row],[Hire_Date]]="",Data_Model[[#This Row],[Hire_Date]] &lt; Data_Model[[#This Row],[Submission_Date]]),"",Data_Model[[#This Row],[Hire_Date]]-Data_Model[[#This Row],[Submission_Date]])</f>
        <v/>
      </c>
      <c r="R108" s="4">
        <f>IF(AND(Data_Model[[#This Row],[Submission_Flag]]=1,Data_Model[[#This Row],[Hire_Flag]]=1,Data_Model[[#This Row],[Hire_Date]]&lt;Data_Model[[#This Row],[Submission_Date]]),1,0)</f>
        <v>0</v>
      </c>
    </row>
    <row r="109" spans="1:18" x14ac:dyDescent="0.25">
      <c r="A109" t="s">
        <v>158</v>
      </c>
      <c r="B109" t="s">
        <v>16</v>
      </c>
      <c r="C109" t="s">
        <v>33</v>
      </c>
      <c r="D109" t="s">
        <v>34</v>
      </c>
      <c r="E109" s="2">
        <v>45659</v>
      </c>
      <c r="F109" t="s">
        <v>62</v>
      </c>
      <c r="G109">
        <v>7</v>
      </c>
      <c r="H109" t="s">
        <v>60</v>
      </c>
      <c r="I10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45683</v>
      </c>
      <c r="J10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09" s="2" t="str">
        <f>IFERROR(IF(_xlfn.MINIFS(tblActivities[Activity_Date],tblActivities[Activity_Type],"Hired",tblActivities[Candidate_ID],Data_Model[[#This Row],[Candidate_ID]])=0,"",_xlfn.MINIFS(tblActivities[Activity_Date],tblActivities[Activity_Type],"Hired",tblActivities[Candidate_ID],Data_Model[[#This Row],[Candidate_ID]])),"")</f>
        <v/>
      </c>
      <c r="L109">
        <f>IF(Data_Model[[#This Row],[Submission_Date]]="",0,1)</f>
        <v>1</v>
      </c>
      <c r="M109">
        <f>IF(Data_Model[[#This Row],[Interview_Date]]="",0,1)</f>
        <v>0</v>
      </c>
      <c r="N109">
        <f>IF(Data_Model[[#This Row],[Hire_Date]]="",0,1)</f>
        <v>0</v>
      </c>
      <c r="O109">
        <f>IF(OR(Data_Model[ [#This Row],[Submission_Date] ]= "",Data_Model[[#This Row],[Resume_Date]] = "",Data_Model[[#This Row],[Submission_Date]] &lt; Data_Model[[#This Row],[Resume_Date]]), "",Data_Model[[#This Row],[Submission_Date]] - Data_Model[[#This Row],[Resume_Date]])</f>
        <v>24</v>
      </c>
      <c r="P109" t="str">
        <f>IF(OR(Data_Model[[#This Row],[Submission_Date]]="",Data_Model[[#This Row],[Interview_Date]]="",Data_Model[[#This Row],[Interview_Date]] &lt; Data_Model[[#This Row],[Submission_Date]]),"",Data_Model[[#This Row],[Interview_Date]]-Data_Model[[#This Row],[Submission_Date]])</f>
        <v/>
      </c>
      <c r="Q109" s="4" t="str">
        <f>IF(OR(Data_Model[[#This Row],[Submission_Date]]="",Data_Model[[#This Row],[Hire_Date]]="",Data_Model[[#This Row],[Hire_Date]] &lt; Data_Model[[#This Row],[Submission_Date]]),"",Data_Model[[#This Row],[Hire_Date]]-Data_Model[[#This Row],[Submission_Date]])</f>
        <v/>
      </c>
      <c r="R109" s="4">
        <f>IF(AND(Data_Model[[#This Row],[Submission_Flag]]=1,Data_Model[[#This Row],[Hire_Flag]]=1,Data_Model[[#This Row],[Hire_Date]]&lt;Data_Model[[#This Row],[Submission_Date]]),1,0)</f>
        <v>0</v>
      </c>
    </row>
    <row r="110" spans="1:18" x14ac:dyDescent="0.25">
      <c r="A110" t="s">
        <v>159</v>
      </c>
      <c r="B110" t="s">
        <v>20</v>
      </c>
      <c r="C110" t="s">
        <v>38</v>
      </c>
      <c r="D110" t="s">
        <v>34</v>
      </c>
      <c r="E110" s="2">
        <v>45667</v>
      </c>
      <c r="F110" t="s">
        <v>62</v>
      </c>
      <c r="G110">
        <v>1</v>
      </c>
      <c r="H110" t="s">
        <v>60</v>
      </c>
      <c r="I11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1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0" s="2" t="str">
        <f>IFERROR(IF(_xlfn.MINIFS(tblActivities[Activity_Date],tblActivities[Activity_Type],"Hired",tblActivities[Candidate_ID],Data_Model[[#This Row],[Candidate_ID]])=0,"",_xlfn.MINIFS(tblActivities[Activity_Date],tblActivities[Activity_Type],"Hired",tblActivities[Candidate_ID],Data_Model[[#This Row],[Candidate_ID]])),"")</f>
        <v/>
      </c>
      <c r="L110">
        <f>IF(Data_Model[[#This Row],[Submission_Date]]="",0,1)</f>
        <v>0</v>
      </c>
      <c r="M110">
        <f>IF(Data_Model[[#This Row],[Interview_Date]]="",0,1)</f>
        <v>0</v>
      </c>
      <c r="N110">
        <f>IF(Data_Model[[#This Row],[Hire_Date]]="",0,1)</f>
        <v>0</v>
      </c>
      <c r="O110" t="str">
        <f>IF(OR(Data_Model[ [#This Row],[Submission_Date] ]= "",Data_Model[[#This Row],[Resume_Date]] = "",Data_Model[[#This Row],[Submission_Date]] &lt; Data_Model[[#This Row],[Resume_Date]]), "",Data_Model[[#This Row],[Submission_Date]] - Data_Model[[#This Row],[Resume_Date]])</f>
        <v/>
      </c>
      <c r="P110" t="str">
        <f>IF(OR(Data_Model[[#This Row],[Submission_Date]]="",Data_Model[[#This Row],[Interview_Date]]="",Data_Model[[#This Row],[Interview_Date]] &lt; Data_Model[[#This Row],[Submission_Date]]),"",Data_Model[[#This Row],[Interview_Date]]-Data_Model[[#This Row],[Submission_Date]])</f>
        <v/>
      </c>
      <c r="Q110" s="4" t="str">
        <f>IF(OR(Data_Model[[#This Row],[Submission_Date]]="",Data_Model[[#This Row],[Hire_Date]]="",Data_Model[[#This Row],[Hire_Date]] &lt; Data_Model[[#This Row],[Submission_Date]]),"",Data_Model[[#This Row],[Hire_Date]]-Data_Model[[#This Row],[Submission_Date]])</f>
        <v/>
      </c>
      <c r="R110" s="4">
        <f>IF(AND(Data_Model[[#This Row],[Submission_Flag]]=1,Data_Model[[#This Row],[Hire_Flag]]=1,Data_Model[[#This Row],[Hire_Date]]&lt;Data_Model[[#This Row],[Submission_Date]]),1,0)</f>
        <v>0</v>
      </c>
    </row>
    <row r="111" spans="1:18" x14ac:dyDescent="0.25">
      <c r="A111" t="s">
        <v>160</v>
      </c>
      <c r="B111" t="s">
        <v>20</v>
      </c>
      <c r="C111" t="s">
        <v>38</v>
      </c>
      <c r="D111" t="s">
        <v>42</v>
      </c>
      <c r="E111" s="2">
        <v>45668</v>
      </c>
      <c r="F111" t="s">
        <v>62</v>
      </c>
      <c r="G111">
        <v>1</v>
      </c>
      <c r="H111" t="s">
        <v>36</v>
      </c>
      <c r="I11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45667</v>
      </c>
      <c r="J11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1" s="2">
        <f>IFERROR(IF(_xlfn.MINIFS(tblActivities[Activity_Date],tblActivities[Activity_Type],"Hired",tblActivities[Candidate_ID],Data_Model[[#This Row],[Candidate_ID]])=0,"",_xlfn.MINIFS(tblActivities[Activity_Date],tblActivities[Activity_Type],"Hired",tblActivities[Candidate_ID],Data_Model[[#This Row],[Candidate_ID]])),"")</f>
        <v>45673</v>
      </c>
      <c r="L111">
        <f>IF(Data_Model[[#This Row],[Submission_Date]]="",0,1)</f>
        <v>1</v>
      </c>
      <c r="M111">
        <f>IF(Data_Model[[#This Row],[Interview_Date]]="",0,1)</f>
        <v>0</v>
      </c>
      <c r="N111">
        <f>IF(Data_Model[[#This Row],[Hire_Date]]="",0,1)</f>
        <v>1</v>
      </c>
      <c r="O111" t="str">
        <f>IF(OR(Data_Model[ [#This Row],[Submission_Date] ]= "",Data_Model[[#This Row],[Resume_Date]] = "",Data_Model[[#This Row],[Submission_Date]] &lt; Data_Model[[#This Row],[Resume_Date]]), "",Data_Model[[#This Row],[Submission_Date]] - Data_Model[[#This Row],[Resume_Date]])</f>
        <v/>
      </c>
      <c r="P111" t="str">
        <f>IF(OR(Data_Model[[#This Row],[Submission_Date]]="",Data_Model[[#This Row],[Interview_Date]]="",Data_Model[[#This Row],[Interview_Date]] &lt; Data_Model[[#This Row],[Submission_Date]]),"",Data_Model[[#This Row],[Interview_Date]]-Data_Model[[#This Row],[Submission_Date]])</f>
        <v/>
      </c>
      <c r="Q111" s="4">
        <f>IF(OR(Data_Model[[#This Row],[Submission_Date]]="",Data_Model[[#This Row],[Hire_Date]]="",Data_Model[[#This Row],[Hire_Date]] &lt; Data_Model[[#This Row],[Submission_Date]]),"",Data_Model[[#This Row],[Hire_Date]]-Data_Model[[#This Row],[Submission_Date]])</f>
        <v>6</v>
      </c>
      <c r="R111" s="4">
        <f>IF(AND(Data_Model[[#This Row],[Submission_Flag]]=1,Data_Model[[#This Row],[Hire_Flag]]=1,Data_Model[[#This Row],[Hire_Date]]&lt;Data_Model[[#This Row],[Submission_Date]]),1,0)</f>
        <v>0</v>
      </c>
    </row>
    <row r="112" spans="1:18" x14ac:dyDescent="0.25">
      <c r="A112" t="s">
        <v>161</v>
      </c>
      <c r="B112" t="s">
        <v>24</v>
      </c>
      <c r="C112" t="s">
        <v>33</v>
      </c>
      <c r="D112" t="s">
        <v>42</v>
      </c>
      <c r="E112" s="2">
        <v>45675</v>
      </c>
      <c r="F112" t="s">
        <v>40</v>
      </c>
      <c r="G112">
        <v>5</v>
      </c>
      <c r="H112" t="s">
        <v>60</v>
      </c>
      <c r="I11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45667</v>
      </c>
      <c r="J11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45671</v>
      </c>
      <c r="K112" s="2">
        <f>IFERROR(IF(_xlfn.MINIFS(tblActivities[Activity_Date],tblActivities[Activity_Type],"Hired",tblActivities[Candidate_ID],Data_Model[[#This Row],[Candidate_ID]])=0,"",_xlfn.MINIFS(tblActivities[Activity_Date],tblActivities[Activity_Type],"Hired",tblActivities[Candidate_ID],Data_Model[[#This Row],[Candidate_ID]])),"")</f>
        <v>45673</v>
      </c>
      <c r="L112">
        <f>IF(Data_Model[[#This Row],[Submission_Date]]="",0,1)</f>
        <v>1</v>
      </c>
      <c r="M112">
        <f>IF(Data_Model[[#This Row],[Interview_Date]]="",0,1)</f>
        <v>1</v>
      </c>
      <c r="N112">
        <f>IF(Data_Model[[#This Row],[Hire_Date]]="",0,1)</f>
        <v>1</v>
      </c>
      <c r="O112" t="str">
        <f>IF(OR(Data_Model[ [#This Row],[Submission_Date] ]= "",Data_Model[[#This Row],[Resume_Date]] = "",Data_Model[[#This Row],[Submission_Date]] &lt; Data_Model[[#This Row],[Resume_Date]]), "",Data_Model[[#This Row],[Submission_Date]] - Data_Model[[#This Row],[Resume_Date]])</f>
        <v/>
      </c>
      <c r="P112">
        <f>IF(OR(Data_Model[[#This Row],[Submission_Date]]="",Data_Model[[#This Row],[Interview_Date]]="",Data_Model[[#This Row],[Interview_Date]] &lt; Data_Model[[#This Row],[Submission_Date]]),"",Data_Model[[#This Row],[Interview_Date]]-Data_Model[[#This Row],[Submission_Date]])</f>
        <v>4</v>
      </c>
      <c r="Q112" s="4">
        <f>IF(OR(Data_Model[[#This Row],[Submission_Date]]="",Data_Model[[#This Row],[Hire_Date]]="",Data_Model[[#This Row],[Hire_Date]] &lt; Data_Model[[#This Row],[Submission_Date]]),"",Data_Model[[#This Row],[Hire_Date]]-Data_Model[[#This Row],[Submission_Date]])</f>
        <v>6</v>
      </c>
      <c r="R112" s="4">
        <f>IF(AND(Data_Model[[#This Row],[Submission_Flag]]=1,Data_Model[[#This Row],[Hire_Flag]]=1,Data_Model[[#This Row],[Hire_Date]]&lt;Data_Model[[#This Row],[Submission_Date]]),1,0)</f>
        <v>0</v>
      </c>
    </row>
    <row r="113" spans="1:18" x14ac:dyDescent="0.25">
      <c r="A113" t="s">
        <v>162</v>
      </c>
      <c r="B113" t="s">
        <v>23</v>
      </c>
      <c r="C113" t="s">
        <v>33</v>
      </c>
      <c r="D113" t="s">
        <v>52</v>
      </c>
      <c r="E113" s="2">
        <v>45669</v>
      </c>
      <c r="F113" t="s">
        <v>35</v>
      </c>
      <c r="G113">
        <v>2</v>
      </c>
      <c r="H113" t="s">
        <v>36</v>
      </c>
      <c r="I11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11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3" s="2">
        <f>IFERROR(IF(_xlfn.MINIFS(tblActivities[Activity_Date],tblActivities[Activity_Type],"Hired",tblActivities[Candidate_ID],Data_Model[[#This Row],[Candidate_ID]])=0,"",_xlfn.MINIFS(tblActivities[Activity_Date],tblActivities[Activity_Type],"Hired",tblActivities[Candidate_ID],Data_Model[[#This Row],[Candidate_ID]])),"")</f>
        <v>45679</v>
      </c>
      <c r="L113">
        <f>IF(Data_Model[[#This Row],[Submission_Date]]="",0,1)</f>
        <v>1</v>
      </c>
      <c r="M113">
        <f>IF(Data_Model[[#This Row],[Interview_Date]]="",0,1)</f>
        <v>0</v>
      </c>
      <c r="N113">
        <f>IF(Data_Model[[#This Row],[Hire_Date]]="",0,1)</f>
        <v>1</v>
      </c>
      <c r="O113">
        <f>IF(OR(Data_Model[ [#This Row],[Submission_Date] ]= "",Data_Model[[#This Row],[Resume_Date]] = "",Data_Model[[#This Row],[Submission_Date]] &lt; Data_Model[[#This Row],[Resume_Date]]), "",Data_Model[[#This Row],[Submission_Date]] - Data_Model[[#This Row],[Resume_Date]])</f>
        <v>11</v>
      </c>
      <c r="P113" t="str">
        <f>IF(OR(Data_Model[[#This Row],[Submission_Date]]="",Data_Model[[#This Row],[Interview_Date]]="",Data_Model[[#This Row],[Interview_Date]] &lt; Data_Model[[#This Row],[Submission_Date]]),"",Data_Model[[#This Row],[Interview_Date]]-Data_Model[[#This Row],[Submission_Date]])</f>
        <v/>
      </c>
      <c r="Q113" s="4" t="str">
        <f>IF(OR(Data_Model[[#This Row],[Submission_Date]]="",Data_Model[[#This Row],[Hire_Date]]="",Data_Model[[#This Row],[Hire_Date]] &lt; Data_Model[[#This Row],[Submission_Date]]),"",Data_Model[[#This Row],[Hire_Date]]-Data_Model[[#This Row],[Submission_Date]])</f>
        <v/>
      </c>
      <c r="R113" s="4">
        <f>IF(AND(Data_Model[[#This Row],[Submission_Flag]]=1,Data_Model[[#This Row],[Hire_Flag]]=1,Data_Model[[#This Row],[Hire_Date]]&lt;Data_Model[[#This Row],[Submission_Date]]),1,0)</f>
        <v>1</v>
      </c>
    </row>
    <row r="114" spans="1:18" x14ac:dyDescent="0.25">
      <c r="A114" t="s">
        <v>163</v>
      </c>
      <c r="B114" t="s">
        <v>17</v>
      </c>
      <c r="C114" t="s">
        <v>33</v>
      </c>
      <c r="D114" t="s">
        <v>34</v>
      </c>
      <c r="E114" s="2">
        <v>45661</v>
      </c>
      <c r="F114" t="s">
        <v>35</v>
      </c>
      <c r="G114">
        <v>5</v>
      </c>
      <c r="H114" t="s">
        <v>60</v>
      </c>
      <c r="I11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14"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4" s="2" t="str">
        <f>IFERROR(IF(_xlfn.MINIFS(tblActivities[Activity_Date],tblActivities[Activity_Type],"Hired",tblActivities[Candidate_ID],Data_Model[[#This Row],[Candidate_ID]])=0,"",_xlfn.MINIFS(tblActivities[Activity_Date],tblActivities[Activity_Type],"Hired",tblActivities[Candidate_ID],Data_Model[[#This Row],[Candidate_ID]])),"")</f>
        <v/>
      </c>
      <c r="L114">
        <f>IF(Data_Model[[#This Row],[Submission_Date]]="",0,1)</f>
        <v>0</v>
      </c>
      <c r="M114">
        <f>IF(Data_Model[[#This Row],[Interview_Date]]="",0,1)</f>
        <v>0</v>
      </c>
      <c r="N114">
        <f>IF(Data_Model[[#This Row],[Hire_Date]]="",0,1)</f>
        <v>0</v>
      </c>
      <c r="O114" t="str">
        <f>IF(OR(Data_Model[ [#This Row],[Submission_Date] ]= "",Data_Model[[#This Row],[Resume_Date]] = "",Data_Model[[#This Row],[Submission_Date]] &lt; Data_Model[[#This Row],[Resume_Date]]), "",Data_Model[[#This Row],[Submission_Date]] - Data_Model[[#This Row],[Resume_Date]])</f>
        <v/>
      </c>
      <c r="P114" t="str">
        <f>IF(OR(Data_Model[[#This Row],[Submission_Date]]="",Data_Model[[#This Row],[Interview_Date]]="",Data_Model[[#This Row],[Interview_Date]] &lt; Data_Model[[#This Row],[Submission_Date]]),"",Data_Model[[#This Row],[Interview_Date]]-Data_Model[[#This Row],[Submission_Date]])</f>
        <v/>
      </c>
      <c r="Q114" s="4" t="str">
        <f>IF(OR(Data_Model[[#This Row],[Submission_Date]]="",Data_Model[[#This Row],[Hire_Date]]="",Data_Model[[#This Row],[Hire_Date]] &lt; Data_Model[[#This Row],[Submission_Date]]),"",Data_Model[[#This Row],[Hire_Date]]-Data_Model[[#This Row],[Submission_Date]])</f>
        <v/>
      </c>
      <c r="R114" s="4">
        <f>IF(AND(Data_Model[[#This Row],[Submission_Flag]]=1,Data_Model[[#This Row],[Hire_Flag]]=1,Data_Model[[#This Row],[Hire_Date]]&lt;Data_Model[[#This Row],[Submission_Date]]),1,0)</f>
        <v>0</v>
      </c>
    </row>
    <row r="115" spans="1:18" x14ac:dyDescent="0.25">
      <c r="A115" t="s">
        <v>164</v>
      </c>
      <c r="B115" t="s">
        <v>23</v>
      </c>
      <c r="C115" t="s">
        <v>45</v>
      </c>
      <c r="D115" t="s">
        <v>50</v>
      </c>
      <c r="E115" s="2">
        <v>45658</v>
      </c>
      <c r="F115" t="s">
        <v>35</v>
      </c>
      <c r="G115">
        <v>4</v>
      </c>
      <c r="H115" t="s">
        <v>60</v>
      </c>
      <c r="I11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45686</v>
      </c>
      <c r="J11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5" s="2" t="str">
        <f>IFERROR(IF(_xlfn.MINIFS(tblActivities[Activity_Date],tblActivities[Activity_Type],"Hired",tblActivities[Candidate_ID],Data_Model[[#This Row],[Candidate_ID]])=0,"",_xlfn.MINIFS(tblActivities[Activity_Date],tblActivities[Activity_Type],"Hired",tblActivities[Candidate_ID],Data_Model[[#This Row],[Candidate_ID]])),"")</f>
        <v/>
      </c>
      <c r="L115">
        <f>IF(Data_Model[[#This Row],[Submission_Date]]="",0,1)</f>
        <v>1</v>
      </c>
      <c r="M115">
        <f>IF(Data_Model[[#This Row],[Interview_Date]]="",0,1)</f>
        <v>0</v>
      </c>
      <c r="N115">
        <f>IF(Data_Model[[#This Row],[Hire_Date]]="",0,1)</f>
        <v>0</v>
      </c>
      <c r="O115">
        <f>IF(OR(Data_Model[ [#This Row],[Submission_Date] ]= "",Data_Model[[#This Row],[Resume_Date]] = "",Data_Model[[#This Row],[Submission_Date]] &lt; Data_Model[[#This Row],[Resume_Date]]), "",Data_Model[[#This Row],[Submission_Date]] - Data_Model[[#This Row],[Resume_Date]])</f>
        <v>28</v>
      </c>
      <c r="P115" t="str">
        <f>IF(OR(Data_Model[[#This Row],[Submission_Date]]="",Data_Model[[#This Row],[Interview_Date]]="",Data_Model[[#This Row],[Interview_Date]] &lt; Data_Model[[#This Row],[Submission_Date]]),"",Data_Model[[#This Row],[Interview_Date]]-Data_Model[[#This Row],[Submission_Date]])</f>
        <v/>
      </c>
      <c r="Q115" s="4" t="str">
        <f>IF(OR(Data_Model[[#This Row],[Submission_Date]]="",Data_Model[[#This Row],[Hire_Date]]="",Data_Model[[#This Row],[Hire_Date]] &lt; Data_Model[[#This Row],[Submission_Date]]),"",Data_Model[[#This Row],[Hire_Date]]-Data_Model[[#This Row],[Submission_Date]])</f>
        <v/>
      </c>
      <c r="R115" s="4">
        <f>IF(AND(Data_Model[[#This Row],[Submission_Flag]]=1,Data_Model[[#This Row],[Hire_Flag]]=1,Data_Model[[#This Row],[Hire_Date]]&lt;Data_Model[[#This Row],[Submission_Date]]),1,0)</f>
        <v>0</v>
      </c>
    </row>
    <row r="116" spans="1:18" x14ac:dyDescent="0.25">
      <c r="A116" t="s">
        <v>165</v>
      </c>
      <c r="B116" t="s">
        <v>10</v>
      </c>
      <c r="C116" t="s">
        <v>45</v>
      </c>
      <c r="D116" t="s">
        <v>52</v>
      </c>
      <c r="E116" s="2">
        <v>45665</v>
      </c>
      <c r="F116" t="s">
        <v>64</v>
      </c>
      <c r="G116">
        <v>7</v>
      </c>
      <c r="H116" t="s">
        <v>47</v>
      </c>
      <c r="I11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45685</v>
      </c>
      <c r="J11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45686</v>
      </c>
      <c r="K116" s="2" t="str">
        <f>IFERROR(IF(_xlfn.MINIFS(tblActivities[Activity_Date],tblActivities[Activity_Type],"Hired",tblActivities[Candidate_ID],Data_Model[[#This Row],[Candidate_ID]])=0,"",_xlfn.MINIFS(tblActivities[Activity_Date],tblActivities[Activity_Type],"Hired",tblActivities[Candidate_ID],Data_Model[[#This Row],[Candidate_ID]])),"")</f>
        <v/>
      </c>
      <c r="L116">
        <f>IF(Data_Model[[#This Row],[Submission_Date]]="",0,1)</f>
        <v>1</v>
      </c>
      <c r="M116">
        <f>IF(Data_Model[[#This Row],[Interview_Date]]="",0,1)</f>
        <v>1</v>
      </c>
      <c r="N116">
        <f>IF(Data_Model[[#This Row],[Hire_Date]]="",0,1)</f>
        <v>0</v>
      </c>
      <c r="O116">
        <f>IF(OR(Data_Model[ [#This Row],[Submission_Date] ]= "",Data_Model[[#This Row],[Resume_Date]] = "",Data_Model[[#This Row],[Submission_Date]] &lt; Data_Model[[#This Row],[Resume_Date]]), "",Data_Model[[#This Row],[Submission_Date]] - Data_Model[[#This Row],[Resume_Date]])</f>
        <v>20</v>
      </c>
      <c r="P116">
        <f>IF(OR(Data_Model[[#This Row],[Submission_Date]]="",Data_Model[[#This Row],[Interview_Date]]="",Data_Model[[#This Row],[Interview_Date]] &lt; Data_Model[[#This Row],[Submission_Date]]),"",Data_Model[[#This Row],[Interview_Date]]-Data_Model[[#This Row],[Submission_Date]])</f>
        <v>1</v>
      </c>
      <c r="Q116" s="4" t="str">
        <f>IF(OR(Data_Model[[#This Row],[Submission_Date]]="",Data_Model[[#This Row],[Hire_Date]]="",Data_Model[[#This Row],[Hire_Date]] &lt; Data_Model[[#This Row],[Submission_Date]]),"",Data_Model[[#This Row],[Hire_Date]]-Data_Model[[#This Row],[Submission_Date]])</f>
        <v/>
      </c>
      <c r="R116" s="4">
        <f>IF(AND(Data_Model[[#This Row],[Submission_Flag]]=1,Data_Model[[#This Row],[Hire_Flag]]=1,Data_Model[[#This Row],[Hire_Date]]&lt;Data_Model[[#This Row],[Submission_Date]]),1,0)</f>
        <v>0</v>
      </c>
    </row>
    <row r="117" spans="1:18" x14ac:dyDescent="0.25">
      <c r="A117" t="s">
        <v>166</v>
      </c>
      <c r="B117" t="s">
        <v>17</v>
      </c>
      <c r="C117" t="s">
        <v>49</v>
      </c>
      <c r="D117" t="s">
        <v>52</v>
      </c>
      <c r="E117" s="2">
        <v>45660</v>
      </c>
      <c r="F117" t="s">
        <v>35</v>
      </c>
      <c r="G117">
        <v>10</v>
      </c>
      <c r="H117" t="s">
        <v>47</v>
      </c>
      <c r="I117"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1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7" s="2">
        <f>IFERROR(IF(_xlfn.MINIFS(tblActivities[Activity_Date],tblActivities[Activity_Type],"Hired",tblActivities[Candidate_ID],Data_Model[[#This Row],[Candidate_ID]])=0,"",_xlfn.MINIFS(tblActivities[Activity_Date],tblActivities[Activity_Type],"Hired",tblActivities[Candidate_ID],Data_Model[[#This Row],[Candidate_ID]])),"")</f>
        <v>45669</v>
      </c>
      <c r="L117">
        <f>IF(Data_Model[[#This Row],[Submission_Date]]="",0,1)</f>
        <v>0</v>
      </c>
      <c r="M117">
        <f>IF(Data_Model[[#This Row],[Interview_Date]]="",0,1)</f>
        <v>0</v>
      </c>
      <c r="N117">
        <f>IF(Data_Model[[#This Row],[Hire_Date]]="",0,1)</f>
        <v>1</v>
      </c>
      <c r="O117" t="str">
        <f>IF(OR(Data_Model[ [#This Row],[Submission_Date] ]= "",Data_Model[[#This Row],[Resume_Date]] = "",Data_Model[[#This Row],[Submission_Date]] &lt; Data_Model[[#This Row],[Resume_Date]]), "",Data_Model[[#This Row],[Submission_Date]] - Data_Model[[#This Row],[Resume_Date]])</f>
        <v/>
      </c>
      <c r="P117" t="str">
        <f>IF(OR(Data_Model[[#This Row],[Submission_Date]]="",Data_Model[[#This Row],[Interview_Date]]="",Data_Model[[#This Row],[Interview_Date]] &lt; Data_Model[[#This Row],[Submission_Date]]),"",Data_Model[[#This Row],[Interview_Date]]-Data_Model[[#This Row],[Submission_Date]])</f>
        <v/>
      </c>
      <c r="Q117" s="4" t="str">
        <f>IF(OR(Data_Model[[#This Row],[Submission_Date]]="",Data_Model[[#This Row],[Hire_Date]]="",Data_Model[[#This Row],[Hire_Date]] &lt; Data_Model[[#This Row],[Submission_Date]]),"",Data_Model[[#This Row],[Hire_Date]]-Data_Model[[#This Row],[Submission_Date]])</f>
        <v/>
      </c>
      <c r="R117" s="4">
        <f>IF(AND(Data_Model[[#This Row],[Submission_Flag]]=1,Data_Model[[#This Row],[Hire_Flag]]=1,Data_Model[[#This Row],[Hire_Date]]&lt;Data_Model[[#This Row],[Submission_Date]]),1,0)</f>
        <v>0</v>
      </c>
    </row>
    <row r="118" spans="1:18" x14ac:dyDescent="0.25">
      <c r="A118" t="s">
        <v>167</v>
      </c>
      <c r="B118" t="s">
        <v>23</v>
      </c>
      <c r="C118" t="s">
        <v>49</v>
      </c>
      <c r="D118" t="s">
        <v>52</v>
      </c>
      <c r="E118" s="2">
        <v>45674</v>
      </c>
      <c r="F118" t="s">
        <v>40</v>
      </c>
      <c r="G118">
        <v>7</v>
      </c>
      <c r="H118" t="s">
        <v>47</v>
      </c>
      <c r="I11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1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8" s="2" t="str">
        <f>IFERROR(IF(_xlfn.MINIFS(tblActivities[Activity_Date],tblActivities[Activity_Type],"Hired",tblActivities[Candidate_ID],Data_Model[[#This Row],[Candidate_ID]])=0,"",_xlfn.MINIFS(tblActivities[Activity_Date],tblActivities[Activity_Type],"Hired",tblActivities[Candidate_ID],Data_Model[[#This Row],[Candidate_ID]])),"")</f>
        <v/>
      </c>
      <c r="L118">
        <f>IF(Data_Model[[#This Row],[Submission_Date]]="",0,1)</f>
        <v>0</v>
      </c>
      <c r="M118">
        <f>IF(Data_Model[[#This Row],[Interview_Date]]="",0,1)</f>
        <v>0</v>
      </c>
      <c r="N118">
        <f>IF(Data_Model[[#This Row],[Hire_Date]]="",0,1)</f>
        <v>0</v>
      </c>
      <c r="O118" t="str">
        <f>IF(OR(Data_Model[ [#This Row],[Submission_Date] ]= "",Data_Model[[#This Row],[Resume_Date]] = "",Data_Model[[#This Row],[Submission_Date]] &lt; Data_Model[[#This Row],[Resume_Date]]), "",Data_Model[[#This Row],[Submission_Date]] - Data_Model[[#This Row],[Resume_Date]])</f>
        <v/>
      </c>
      <c r="P118" t="str">
        <f>IF(OR(Data_Model[[#This Row],[Submission_Date]]="",Data_Model[[#This Row],[Interview_Date]]="",Data_Model[[#This Row],[Interview_Date]] &lt; Data_Model[[#This Row],[Submission_Date]]),"",Data_Model[[#This Row],[Interview_Date]]-Data_Model[[#This Row],[Submission_Date]])</f>
        <v/>
      </c>
      <c r="Q118" s="4" t="str">
        <f>IF(OR(Data_Model[[#This Row],[Submission_Date]]="",Data_Model[[#This Row],[Hire_Date]]="",Data_Model[[#This Row],[Hire_Date]] &lt; Data_Model[[#This Row],[Submission_Date]]),"",Data_Model[[#This Row],[Hire_Date]]-Data_Model[[#This Row],[Submission_Date]])</f>
        <v/>
      </c>
      <c r="R118" s="4">
        <f>IF(AND(Data_Model[[#This Row],[Submission_Flag]]=1,Data_Model[[#This Row],[Hire_Flag]]=1,Data_Model[[#This Row],[Hire_Date]]&lt;Data_Model[[#This Row],[Submission_Date]]),1,0)</f>
        <v>0</v>
      </c>
    </row>
    <row r="119" spans="1:18" x14ac:dyDescent="0.25">
      <c r="A119" t="s">
        <v>168</v>
      </c>
      <c r="B119" t="s">
        <v>19</v>
      </c>
      <c r="C119" t="s">
        <v>38</v>
      </c>
      <c r="D119" t="s">
        <v>34</v>
      </c>
      <c r="E119" s="2">
        <v>45665</v>
      </c>
      <c r="F119" t="s">
        <v>62</v>
      </c>
      <c r="G119">
        <v>9</v>
      </c>
      <c r="H119" t="s">
        <v>60</v>
      </c>
      <c r="I11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45675</v>
      </c>
      <c r="J11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19" s="2" t="str">
        <f>IFERROR(IF(_xlfn.MINIFS(tblActivities[Activity_Date],tblActivities[Activity_Type],"Hired",tblActivities[Candidate_ID],Data_Model[[#This Row],[Candidate_ID]])=0,"",_xlfn.MINIFS(tblActivities[Activity_Date],tblActivities[Activity_Type],"Hired",tblActivities[Candidate_ID],Data_Model[[#This Row],[Candidate_ID]])),"")</f>
        <v/>
      </c>
      <c r="L119">
        <f>IF(Data_Model[[#This Row],[Submission_Date]]="",0,1)</f>
        <v>1</v>
      </c>
      <c r="M119">
        <f>IF(Data_Model[[#This Row],[Interview_Date]]="",0,1)</f>
        <v>0</v>
      </c>
      <c r="N119">
        <f>IF(Data_Model[[#This Row],[Hire_Date]]="",0,1)</f>
        <v>0</v>
      </c>
      <c r="O119">
        <f>IF(OR(Data_Model[ [#This Row],[Submission_Date] ]= "",Data_Model[[#This Row],[Resume_Date]] = "",Data_Model[[#This Row],[Submission_Date]] &lt; Data_Model[[#This Row],[Resume_Date]]), "",Data_Model[[#This Row],[Submission_Date]] - Data_Model[[#This Row],[Resume_Date]])</f>
        <v>10</v>
      </c>
      <c r="P119" t="str">
        <f>IF(OR(Data_Model[[#This Row],[Submission_Date]]="",Data_Model[[#This Row],[Interview_Date]]="",Data_Model[[#This Row],[Interview_Date]] &lt; Data_Model[[#This Row],[Submission_Date]]),"",Data_Model[[#This Row],[Interview_Date]]-Data_Model[[#This Row],[Submission_Date]])</f>
        <v/>
      </c>
      <c r="Q119" s="4" t="str">
        <f>IF(OR(Data_Model[[#This Row],[Submission_Date]]="",Data_Model[[#This Row],[Hire_Date]]="",Data_Model[[#This Row],[Hire_Date]] &lt; Data_Model[[#This Row],[Submission_Date]]),"",Data_Model[[#This Row],[Hire_Date]]-Data_Model[[#This Row],[Submission_Date]])</f>
        <v/>
      </c>
      <c r="R119" s="4">
        <f>IF(AND(Data_Model[[#This Row],[Submission_Flag]]=1,Data_Model[[#This Row],[Hire_Flag]]=1,Data_Model[[#This Row],[Hire_Date]]&lt;Data_Model[[#This Row],[Submission_Date]]),1,0)</f>
        <v>0</v>
      </c>
    </row>
    <row r="120" spans="1:18" x14ac:dyDescent="0.25">
      <c r="A120" t="s">
        <v>169</v>
      </c>
      <c r="B120" t="s">
        <v>6</v>
      </c>
      <c r="C120" t="s">
        <v>45</v>
      </c>
      <c r="D120" t="s">
        <v>52</v>
      </c>
      <c r="E120" s="2">
        <v>45666</v>
      </c>
      <c r="F120" t="s">
        <v>46</v>
      </c>
      <c r="G120">
        <v>9</v>
      </c>
      <c r="H120" t="s">
        <v>36</v>
      </c>
      <c r="I12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45667</v>
      </c>
      <c r="J12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20" s="2" t="str">
        <f>IFERROR(IF(_xlfn.MINIFS(tblActivities[Activity_Date],tblActivities[Activity_Type],"Hired",tblActivities[Candidate_ID],Data_Model[[#This Row],[Candidate_ID]])=0,"",_xlfn.MINIFS(tblActivities[Activity_Date],tblActivities[Activity_Type],"Hired",tblActivities[Candidate_ID],Data_Model[[#This Row],[Candidate_ID]])),"")</f>
        <v/>
      </c>
      <c r="L120">
        <f>IF(Data_Model[[#This Row],[Submission_Date]]="",0,1)</f>
        <v>1</v>
      </c>
      <c r="M120">
        <f>IF(Data_Model[[#This Row],[Interview_Date]]="",0,1)</f>
        <v>0</v>
      </c>
      <c r="N120">
        <f>IF(Data_Model[[#This Row],[Hire_Date]]="",0,1)</f>
        <v>0</v>
      </c>
      <c r="O120">
        <f>IF(OR(Data_Model[ [#This Row],[Submission_Date] ]= "",Data_Model[[#This Row],[Resume_Date]] = "",Data_Model[[#This Row],[Submission_Date]] &lt; Data_Model[[#This Row],[Resume_Date]]), "",Data_Model[[#This Row],[Submission_Date]] - Data_Model[[#This Row],[Resume_Date]])</f>
        <v>1</v>
      </c>
      <c r="P120" t="str">
        <f>IF(OR(Data_Model[[#This Row],[Submission_Date]]="",Data_Model[[#This Row],[Interview_Date]]="",Data_Model[[#This Row],[Interview_Date]] &lt; Data_Model[[#This Row],[Submission_Date]]),"",Data_Model[[#This Row],[Interview_Date]]-Data_Model[[#This Row],[Submission_Date]])</f>
        <v/>
      </c>
      <c r="Q120" s="4" t="str">
        <f>IF(OR(Data_Model[[#This Row],[Submission_Date]]="",Data_Model[[#This Row],[Hire_Date]]="",Data_Model[[#This Row],[Hire_Date]] &lt; Data_Model[[#This Row],[Submission_Date]]),"",Data_Model[[#This Row],[Hire_Date]]-Data_Model[[#This Row],[Submission_Date]])</f>
        <v/>
      </c>
      <c r="R120" s="4">
        <f>IF(AND(Data_Model[[#This Row],[Submission_Flag]]=1,Data_Model[[#This Row],[Hire_Flag]]=1,Data_Model[[#This Row],[Hire_Date]]&lt;Data_Model[[#This Row],[Submission_Date]]),1,0)</f>
        <v>0</v>
      </c>
    </row>
    <row r="121" spans="1:18" x14ac:dyDescent="0.25">
      <c r="A121" t="s">
        <v>170</v>
      </c>
      <c r="B121" t="s">
        <v>16</v>
      </c>
      <c r="C121" t="s">
        <v>38</v>
      </c>
      <c r="D121" t="s">
        <v>50</v>
      </c>
      <c r="E121" s="2">
        <v>45661</v>
      </c>
      <c r="F121" t="s">
        <v>35</v>
      </c>
      <c r="G121">
        <v>6</v>
      </c>
      <c r="H121" t="s">
        <v>36</v>
      </c>
      <c r="I12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45675</v>
      </c>
      <c r="J12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45671</v>
      </c>
      <c r="K121" s="2" t="str">
        <f>IFERROR(IF(_xlfn.MINIFS(tblActivities[Activity_Date],tblActivities[Activity_Type],"Hired",tblActivities[Candidate_ID],Data_Model[[#This Row],[Candidate_ID]])=0,"",_xlfn.MINIFS(tblActivities[Activity_Date],tblActivities[Activity_Type],"Hired",tblActivities[Candidate_ID],Data_Model[[#This Row],[Candidate_ID]])),"")</f>
        <v/>
      </c>
      <c r="L121">
        <f>IF(Data_Model[[#This Row],[Submission_Date]]="",0,1)</f>
        <v>1</v>
      </c>
      <c r="M121">
        <f>IF(Data_Model[[#This Row],[Interview_Date]]="",0,1)</f>
        <v>1</v>
      </c>
      <c r="N121">
        <f>IF(Data_Model[[#This Row],[Hire_Date]]="",0,1)</f>
        <v>0</v>
      </c>
      <c r="O121">
        <f>IF(OR(Data_Model[ [#This Row],[Submission_Date] ]= "",Data_Model[[#This Row],[Resume_Date]] = "",Data_Model[[#This Row],[Submission_Date]] &lt; Data_Model[[#This Row],[Resume_Date]]), "",Data_Model[[#This Row],[Submission_Date]] - Data_Model[[#This Row],[Resume_Date]])</f>
        <v>14</v>
      </c>
      <c r="P121" t="str">
        <f>IF(OR(Data_Model[[#This Row],[Submission_Date]]="",Data_Model[[#This Row],[Interview_Date]]="",Data_Model[[#This Row],[Interview_Date]] &lt; Data_Model[[#This Row],[Submission_Date]]),"",Data_Model[[#This Row],[Interview_Date]]-Data_Model[[#This Row],[Submission_Date]])</f>
        <v/>
      </c>
      <c r="Q121" s="4" t="str">
        <f>IF(OR(Data_Model[[#This Row],[Submission_Date]]="",Data_Model[[#This Row],[Hire_Date]]="",Data_Model[[#This Row],[Hire_Date]] &lt; Data_Model[[#This Row],[Submission_Date]]),"",Data_Model[[#This Row],[Hire_Date]]-Data_Model[[#This Row],[Submission_Date]])</f>
        <v/>
      </c>
      <c r="R121" s="4">
        <f>IF(AND(Data_Model[[#This Row],[Submission_Flag]]=1,Data_Model[[#This Row],[Hire_Flag]]=1,Data_Model[[#This Row],[Hire_Date]]&lt;Data_Model[[#This Row],[Submission_Date]]),1,0)</f>
        <v>0</v>
      </c>
    </row>
    <row r="122" spans="1:18" x14ac:dyDescent="0.25">
      <c r="A122" t="s">
        <v>171</v>
      </c>
      <c r="B122" t="s">
        <v>13</v>
      </c>
      <c r="C122" t="s">
        <v>38</v>
      </c>
      <c r="D122" t="s">
        <v>42</v>
      </c>
      <c r="E122" s="2">
        <v>45658</v>
      </c>
      <c r="F122" t="s">
        <v>46</v>
      </c>
      <c r="G122">
        <v>6</v>
      </c>
      <c r="H122" t="s">
        <v>47</v>
      </c>
      <c r="I12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2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45673</v>
      </c>
      <c r="K122" s="2">
        <f>IFERROR(IF(_xlfn.MINIFS(tblActivities[Activity_Date],tblActivities[Activity_Type],"Hired",tblActivities[Candidate_ID],Data_Model[[#This Row],[Candidate_ID]])=0,"",_xlfn.MINIFS(tblActivities[Activity_Date],tblActivities[Activity_Type],"Hired",tblActivities[Candidate_ID],Data_Model[[#This Row],[Candidate_ID]])),"")</f>
        <v>45663</v>
      </c>
      <c r="L122">
        <f>IF(Data_Model[[#This Row],[Submission_Date]]="",0,1)</f>
        <v>0</v>
      </c>
      <c r="M122">
        <f>IF(Data_Model[[#This Row],[Interview_Date]]="",0,1)</f>
        <v>1</v>
      </c>
      <c r="N122">
        <f>IF(Data_Model[[#This Row],[Hire_Date]]="",0,1)</f>
        <v>1</v>
      </c>
      <c r="O122" t="str">
        <f>IF(OR(Data_Model[ [#This Row],[Submission_Date] ]= "",Data_Model[[#This Row],[Resume_Date]] = "",Data_Model[[#This Row],[Submission_Date]] &lt; Data_Model[[#This Row],[Resume_Date]]), "",Data_Model[[#This Row],[Submission_Date]] - Data_Model[[#This Row],[Resume_Date]])</f>
        <v/>
      </c>
      <c r="P122" t="str">
        <f>IF(OR(Data_Model[[#This Row],[Submission_Date]]="",Data_Model[[#This Row],[Interview_Date]]="",Data_Model[[#This Row],[Interview_Date]] &lt; Data_Model[[#This Row],[Submission_Date]]),"",Data_Model[[#This Row],[Interview_Date]]-Data_Model[[#This Row],[Submission_Date]])</f>
        <v/>
      </c>
      <c r="Q122" s="4" t="str">
        <f>IF(OR(Data_Model[[#This Row],[Submission_Date]]="",Data_Model[[#This Row],[Hire_Date]]="",Data_Model[[#This Row],[Hire_Date]] &lt; Data_Model[[#This Row],[Submission_Date]]),"",Data_Model[[#This Row],[Hire_Date]]-Data_Model[[#This Row],[Submission_Date]])</f>
        <v/>
      </c>
      <c r="R122" s="4">
        <f>IF(AND(Data_Model[[#This Row],[Submission_Flag]]=1,Data_Model[[#This Row],[Hire_Flag]]=1,Data_Model[[#This Row],[Hire_Date]]&lt;Data_Model[[#This Row],[Submission_Date]]),1,0)</f>
        <v>0</v>
      </c>
    </row>
    <row r="123" spans="1:18" x14ac:dyDescent="0.25">
      <c r="A123" t="s">
        <v>172</v>
      </c>
      <c r="B123" t="s">
        <v>22</v>
      </c>
      <c r="C123" t="s">
        <v>49</v>
      </c>
      <c r="D123" t="s">
        <v>52</v>
      </c>
      <c r="E123" s="2">
        <v>45660</v>
      </c>
      <c r="F123" t="s">
        <v>62</v>
      </c>
      <c r="G123">
        <v>8</v>
      </c>
      <c r="H123" t="s">
        <v>36</v>
      </c>
      <c r="I12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45682</v>
      </c>
      <c r="J12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23" s="2" t="str">
        <f>IFERROR(IF(_xlfn.MINIFS(tblActivities[Activity_Date],tblActivities[Activity_Type],"Hired",tblActivities[Candidate_ID],Data_Model[[#This Row],[Candidate_ID]])=0,"",_xlfn.MINIFS(tblActivities[Activity_Date],tblActivities[Activity_Type],"Hired",tblActivities[Candidate_ID],Data_Model[[#This Row],[Candidate_ID]])),"")</f>
        <v/>
      </c>
      <c r="L123">
        <f>IF(Data_Model[[#This Row],[Submission_Date]]="",0,1)</f>
        <v>1</v>
      </c>
      <c r="M123">
        <f>IF(Data_Model[[#This Row],[Interview_Date]]="",0,1)</f>
        <v>0</v>
      </c>
      <c r="N123">
        <f>IF(Data_Model[[#This Row],[Hire_Date]]="",0,1)</f>
        <v>0</v>
      </c>
      <c r="O123">
        <f>IF(OR(Data_Model[ [#This Row],[Submission_Date] ]= "",Data_Model[[#This Row],[Resume_Date]] = "",Data_Model[[#This Row],[Submission_Date]] &lt; Data_Model[[#This Row],[Resume_Date]]), "",Data_Model[[#This Row],[Submission_Date]] - Data_Model[[#This Row],[Resume_Date]])</f>
        <v>22</v>
      </c>
      <c r="P123" t="str">
        <f>IF(OR(Data_Model[[#This Row],[Submission_Date]]="",Data_Model[[#This Row],[Interview_Date]]="",Data_Model[[#This Row],[Interview_Date]] &lt; Data_Model[[#This Row],[Submission_Date]]),"",Data_Model[[#This Row],[Interview_Date]]-Data_Model[[#This Row],[Submission_Date]])</f>
        <v/>
      </c>
      <c r="Q123" s="4" t="str">
        <f>IF(OR(Data_Model[[#This Row],[Submission_Date]]="",Data_Model[[#This Row],[Hire_Date]]="",Data_Model[[#This Row],[Hire_Date]] &lt; Data_Model[[#This Row],[Submission_Date]]),"",Data_Model[[#This Row],[Hire_Date]]-Data_Model[[#This Row],[Submission_Date]])</f>
        <v/>
      </c>
      <c r="R123" s="4">
        <f>IF(AND(Data_Model[[#This Row],[Submission_Flag]]=1,Data_Model[[#This Row],[Hire_Flag]]=1,Data_Model[[#This Row],[Hire_Date]]&lt;Data_Model[[#This Row],[Submission_Date]]),1,0)</f>
        <v>0</v>
      </c>
    </row>
    <row r="124" spans="1:18" x14ac:dyDescent="0.25">
      <c r="A124" t="s">
        <v>173</v>
      </c>
      <c r="B124" t="s">
        <v>6</v>
      </c>
      <c r="C124" t="s">
        <v>38</v>
      </c>
      <c r="D124" t="s">
        <v>50</v>
      </c>
      <c r="E124" s="2">
        <v>45668</v>
      </c>
      <c r="F124" t="s">
        <v>62</v>
      </c>
      <c r="G124">
        <v>7</v>
      </c>
      <c r="H124" t="s">
        <v>36</v>
      </c>
      <c r="I12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2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45680</v>
      </c>
      <c r="K124" s="2">
        <f>IFERROR(IF(_xlfn.MINIFS(tblActivities[Activity_Date],tblActivities[Activity_Type],"Hired",tblActivities[Candidate_ID],Data_Model[[#This Row],[Candidate_ID]])=0,"",_xlfn.MINIFS(tblActivities[Activity_Date],tblActivities[Activity_Type],"Hired",tblActivities[Candidate_ID],Data_Model[[#This Row],[Candidate_ID]])),"")</f>
        <v>45673</v>
      </c>
      <c r="L124">
        <f>IF(Data_Model[[#This Row],[Submission_Date]]="",0,1)</f>
        <v>0</v>
      </c>
      <c r="M124">
        <f>IF(Data_Model[[#This Row],[Interview_Date]]="",0,1)</f>
        <v>1</v>
      </c>
      <c r="N124">
        <f>IF(Data_Model[[#This Row],[Hire_Date]]="",0,1)</f>
        <v>1</v>
      </c>
      <c r="O124" t="str">
        <f>IF(OR(Data_Model[ [#This Row],[Submission_Date] ]= "",Data_Model[[#This Row],[Resume_Date]] = "",Data_Model[[#This Row],[Submission_Date]] &lt; Data_Model[[#This Row],[Resume_Date]]), "",Data_Model[[#This Row],[Submission_Date]] - Data_Model[[#This Row],[Resume_Date]])</f>
        <v/>
      </c>
      <c r="P124" t="str">
        <f>IF(OR(Data_Model[[#This Row],[Submission_Date]]="",Data_Model[[#This Row],[Interview_Date]]="",Data_Model[[#This Row],[Interview_Date]] &lt; Data_Model[[#This Row],[Submission_Date]]),"",Data_Model[[#This Row],[Interview_Date]]-Data_Model[[#This Row],[Submission_Date]])</f>
        <v/>
      </c>
      <c r="Q124" s="4" t="str">
        <f>IF(OR(Data_Model[[#This Row],[Submission_Date]]="",Data_Model[[#This Row],[Hire_Date]]="",Data_Model[[#This Row],[Hire_Date]] &lt; Data_Model[[#This Row],[Submission_Date]]),"",Data_Model[[#This Row],[Hire_Date]]-Data_Model[[#This Row],[Submission_Date]])</f>
        <v/>
      </c>
      <c r="R124" s="4">
        <f>IF(AND(Data_Model[[#This Row],[Submission_Flag]]=1,Data_Model[[#This Row],[Hire_Flag]]=1,Data_Model[[#This Row],[Hire_Date]]&lt;Data_Model[[#This Row],[Submission_Date]]),1,0)</f>
        <v>0</v>
      </c>
    </row>
    <row r="125" spans="1:18" x14ac:dyDescent="0.25">
      <c r="A125" t="s">
        <v>174</v>
      </c>
      <c r="B125" t="s">
        <v>6</v>
      </c>
      <c r="C125" t="s">
        <v>49</v>
      </c>
      <c r="D125" t="s">
        <v>42</v>
      </c>
      <c r="E125" s="2">
        <v>45662</v>
      </c>
      <c r="F125" t="s">
        <v>62</v>
      </c>
      <c r="G125">
        <v>10</v>
      </c>
      <c r="H125" t="s">
        <v>47</v>
      </c>
      <c r="I12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2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45674</v>
      </c>
      <c r="K125" s="2">
        <f>IFERROR(IF(_xlfn.MINIFS(tblActivities[Activity_Date],tblActivities[Activity_Type],"Hired",tblActivities[Candidate_ID],Data_Model[[#This Row],[Candidate_ID]])=0,"",_xlfn.MINIFS(tblActivities[Activity_Date],tblActivities[Activity_Type],"Hired",tblActivities[Candidate_ID],Data_Model[[#This Row],[Candidate_ID]])),"")</f>
        <v>45677</v>
      </c>
      <c r="L125">
        <f>IF(Data_Model[[#This Row],[Submission_Date]]="",0,1)</f>
        <v>0</v>
      </c>
      <c r="M125">
        <f>IF(Data_Model[[#This Row],[Interview_Date]]="",0,1)</f>
        <v>1</v>
      </c>
      <c r="N125">
        <f>IF(Data_Model[[#This Row],[Hire_Date]]="",0,1)</f>
        <v>1</v>
      </c>
      <c r="O125" t="str">
        <f>IF(OR(Data_Model[ [#This Row],[Submission_Date] ]= "",Data_Model[[#This Row],[Resume_Date]] = "",Data_Model[[#This Row],[Submission_Date]] &lt; Data_Model[[#This Row],[Resume_Date]]), "",Data_Model[[#This Row],[Submission_Date]] - Data_Model[[#This Row],[Resume_Date]])</f>
        <v/>
      </c>
      <c r="P125" t="str">
        <f>IF(OR(Data_Model[[#This Row],[Submission_Date]]="",Data_Model[[#This Row],[Interview_Date]]="",Data_Model[[#This Row],[Interview_Date]] &lt; Data_Model[[#This Row],[Submission_Date]]),"",Data_Model[[#This Row],[Interview_Date]]-Data_Model[[#This Row],[Submission_Date]])</f>
        <v/>
      </c>
      <c r="Q125" s="4" t="str">
        <f>IF(OR(Data_Model[[#This Row],[Submission_Date]]="",Data_Model[[#This Row],[Hire_Date]]="",Data_Model[[#This Row],[Hire_Date]] &lt; Data_Model[[#This Row],[Submission_Date]]),"",Data_Model[[#This Row],[Hire_Date]]-Data_Model[[#This Row],[Submission_Date]])</f>
        <v/>
      </c>
      <c r="R125" s="4">
        <f>IF(AND(Data_Model[[#This Row],[Submission_Flag]]=1,Data_Model[[#This Row],[Hire_Flag]]=1,Data_Model[[#This Row],[Hire_Date]]&lt;Data_Model[[#This Row],[Submission_Date]]),1,0)</f>
        <v>0</v>
      </c>
    </row>
    <row r="126" spans="1:18" x14ac:dyDescent="0.25">
      <c r="A126" t="s">
        <v>175</v>
      </c>
      <c r="B126" t="s">
        <v>17</v>
      </c>
      <c r="C126" t="s">
        <v>49</v>
      </c>
      <c r="D126" t="s">
        <v>39</v>
      </c>
      <c r="E126" s="2">
        <v>45660</v>
      </c>
      <c r="F126" t="s">
        <v>46</v>
      </c>
      <c r="G126">
        <v>4</v>
      </c>
      <c r="H126" t="s">
        <v>60</v>
      </c>
      <c r="I12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2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45679</v>
      </c>
      <c r="K126" s="2">
        <f>IFERROR(IF(_xlfn.MINIFS(tblActivities[Activity_Date],tblActivities[Activity_Type],"Hired",tblActivities[Candidate_ID],Data_Model[[#This Row],[Candidate_ID]])=0,"",_xlfn.MINIFS(tblActivities[Activity_Date],tblActivities[Activity_Type],"Hired",tblActivities[Candidate_ID],Data_Model[[#This Row],[Candidate_ID]])),"")</f>
        <v>45683</v>
      </c>
      <c r="L126">
        <f>IF(Data_Model[[#This Row],[Submission_Date]]="",0,1)</f>
        <v>0</v>
      </c>
      <c r="M126">
        <f>IF(Data_Model[[#This Row],[Interview_Date]]="",0,1)</f>
        <v>1</v>
      </c>
      <c r="N126">
        <f>IF(Data_Model[[#This Row],[Hire_Date]]="",0,1)</f>
        <v>1</v>
      </c>
      <c r="O126" t="str">
        <f>IF(OR(Data_Model[ [#This Row],[Submission_Date] ]= "",Data_Model[[#This Row],[Resume_Date]] = "",Data_Model[[#This Row],[Submission_Date]] &lt; Data_Model[[#This Row],[Resume_Date]]), "",Data_Model[[#This Row],[Submission_Date]] - Data_Model[[#This Row],[Resume_Date]])</f>
        <v/>
      </c>
      <c r="P126" t="str">
        <f>IF(OR(Data_Model[[#This Row],[Submission_Date]]="",Data_Model[[#This Row],[Interview_Date]]="",Data_Model[[#This Row],[Interview_Date]] &lt; Data_Model[[#This Row],[Submission_Date]]),"",Data_Model[[#This Row],[Interview_Date]]-Data_Model[[#This Row],[Submission_Date]])</f>
        <v/>
      </c>
      <c r="Q126" s="4" t="str">
        <f>IF(OR(Data_Model[[#This Row],[Submission_Date]]="",Data_Model[[#This Row],[Hire_Date]]="",Data_Model[[#This Row],[Hire_Date]] &lt; Data_Model[[#This Row],[Submission_Date]]),"",Data_Model[[#This Row],[Hire_Date]]-Data_Model[[#This Row],[Submission_Date]])</f>
        <v/>
      </c>
      <c r="R126" s="4">
        <f>IF(AND(Data_Model[[#This Row],[Submission_Flag]]=1,Data_Model[[#This Row],[Hire_Flag]]=1,Data_Model[[#This Row],[Hire_Date]]&lt;Data_Model[[#This Row],[Submission_Date]]),1,0)</f>
        <v>0</v>
      </c>
    </row>
    <row r="127" spans="1:18" x14ac:dyDescent="0.25">
      <c r="A127" t="s">
        <v>176</v>
      </c>
      <c r="B127" t="s">
        <v>23</v>
      </c>
      <c r="C127" t="s">
        <v>38</v>
      </c>
      <c r="D127" t="s">
        <v>52</v>
      </c>
      <c r="E127" s="2">
        <v>45665</v>
      </c>
      <c r="F127" t="s">
        <v>46</v>
      </c>
      <c r="G127">
        <v>8</v>
      </c>
      <c r="H127" t="s">
        <v>36</v>
      </c>
      <c r="I12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45679</v>
      </c>
      <c r="J12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45684</v>
      </c>
      <c r="K127" s="2">
        <f>IFERROR(IF(_xlfn.MINIFS(tblActivities[Activity_Date],tblActivities[Activity_Type],"Hired",tblActivities[Candidate_ID],Data_Model[[#This Row],[Candidate_ID]])=0,"",_xlfn.MINIFS(tblActivities[Activity_Date],tblActivities[Activity_Type],"Hired",tblActivities[Candidate_ID],Data_Model[[#This Row],[Candidate_ID]])),"")</f>
        <v>45684</v>
      </c>
      <c r="L127">
        <f>IF(Data_Model[[#This Row],[Submission_Date]]="",0,1)</f>
        <v>1</v>
      </c>
      <c r="M127">
        <f>IF(Data_Model[[#This Row],[Interview_Date]]="",0,1)</f>
        <v>1</v>
      </c>
      <c r="N127">
        <f>IF(Data_Model[[#This Row],[Hire_Date]]="",0,1)</f>
        <v>1</v>
      </c>
      <c r="O127">
        <f>IF(OR(Data_Model[ [#This Row],[Submission_Date] ]= "",Data_Model[[#This Row],[Resume_Date]] = "",Data_Model[[#This Row],[Submission_Date]] &lt; Data_Model[[#This Row],[Resume_Date]]), "",Data_Model[[#This Row],[Submission_Date]] - Data_Model[[#This Row],[Resume_Date]])</f>
        <v>14</v>
      </c>
      <c r="P127">
        <f>IF(OR(Data_Model[[#This Row],[Submission_Date]]="",Data_Model[[#This Row],[Interview_Date]]="",Data_Model[[#This Row],[Interview_Date]] &lt; Data_Model[[#This Row],[Submission_Date]]),"",Data_Model[[#This Row],[Interview_Date]]-Data_Model[[#This Row],[Submission_Date]])</f>
        <v>5</v>
      </c>
      <c r="Q127" s="4">
        <f>IF(OR(Data_Model[[#This Row],[Submission_Date]]="",Data_Model[[#This Row],[Hire_Date]]="",Data_Model[[#This Row],[Hire_Date]] &lt; Data_Model[[#This Row],[Submission_Date]]),"",Data_Model[[#This Row],[Hire_Date]]-Data_Model[[#This Row],[Submission_Date]])</f>
        <v>5</v>
      </c>
      <c r="R127" s="4">
        <f>IF(AND(Data_Model[[#This Row],[Submission_Flag]]=1,Data_Model[[#This Row],[Hire_Flag]]=1,Data_Model[[#This Row],[Hire_Date]]&lt;Data_Model[[#This Row],[Submission_Date]]),1,0)</f>
        <v>0</v>
      </c>
    </row>
    <row r="128" spans="1:18" x14ac:dyDescent="0.25">
      <c r="A128" t="s">
        <v>177</v>
      </c>
      <c r="B128" t="s">
        <v>19</v>
      </c>
      <c r="C128" t="s">
        <v>45</v>
      </c>
      <c r="D128" t="s">
        <v>50</v>
      </c>
      <c r="E128" s="2">
        <v>45672</v>
      </c>
      <c r="F128" t="s">
        <v>35</v>
      </c>
      <c r="G128">
        <v>7</v>
      </c>
      <c r="H128" t="s">
        <v>47</v>
      </c>
      <c r="I12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28"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45665</v>
      </c>
      <c r="K128" s="2">
        <f>IFERROR(IF(_xlfn.MINIFS(tblActivities[Activity_Date],tblActivities[Activity_Type],"Hired",tblActivities[Candidate_ID],Data_Model[[#This Row],[Candidate_ID]])=0,"",_xlfn.MINIFS(tblActivities[Activity_Date],tblActivities[Activity_Type],"Hired",tblActivities[Candidate_ID],Data_Model[[#This Row],[Candidate_ID]])),"")</f>
        <v>45672</v>
      </c>
      <c r="L128">
        <f>IF(Data_Model[[#This Row],[Submission_Date]]="",0,1)</f>
        <v>0</v>
      </c>
      <c r="M128">
        <f>IF(Data_Model[[#This Row],[Interview_Date]]="",0,1)</f>
        <v>1</v>
      </c>
      <c r="N128">
        <f>IF(Data_Model[[#This Row],[Hire_Date]]="",0,1)</f>
        <v>1</v>
      </c>
      <c r="O128" t="str">
        <f>IF(OR(Data_Model[ [#This Row],[Submission_Date] ]= "",Data_Model[[#This Row],[Resume_Date]] = "",Data_Model[[#This Row],[Submission_Date]] &lt; Data_Model[[#This Row],[Resume_Date]]), "",Data_Model[[#This Row],[Submission_Date]] - Data_Model[[#This Row],[Resume_Date]])</f>
        <v/>
      </c>
      <c r="P128" t="str">
        <f>IF(OR(Data_Model[[#This Row],[Submission_Date]]="",Data_Model[[#This Row],[Interview_Date]]="",Data_Model[[#This Row],[Interview_Date]] &lt; Data_Model[[#This Row],[Submission_Date]]),"",Data_Model[[#This Row],[Interview_Date]]-Data_Model[[#This Row],[Submission_Date]])</f>
        <v/>
      </c>
      <c r="Q128" s="4" t="str">
        <f>IF(OR(Data_Model[[#This Row],[Submission_Date]]="",Data_Model[[#This Row],[Hire_Date]]="",Data_Model[[#This Row],[Hire_Date]] &lt; Data_Model[[#This Row],[Submission_Date]]),"",Data_Model[[#This Row],[Hire_Date]]-Data_Model[[#This Row],[Submission_Date]])</f>
        <v/>
      </c>
      <c r="R128" s="4">
        <f>IF(AND(Data_Model[[#This Row],[Submission_Flag]]=1,Data_Model[[#This Row],[Hire_Flag]]=1,Data_Model[[#This Row],[Hire_Date]]&lt;Data_Model[[#This Row],[Submission_Date]]),1,0)</f>
        <v>0</v>
      </c>
    </row>
    <row r="129" spans="1:18" x14ac:dyDescent="0.25">
      <c r="A129" t="s">
        <v>178</v>
      </c>
      <c r="B129" t="s">
        <v>24</v>
      </c>
      <c r="C129" t="s">
        <v>45</v>
      </c>
      <c r="D129" t="s">
        <v>42</v>
      </c>
      <c r="E129" s="2">
        <v>45669</v>
      </c>
      <c r="F129" t="s">
        <v>62</v>
      </c>
      <c r="G129">
        <v>1</v>
      </c>
      <c r="H129" t="s">
        <v>57</v>
      </c>
      <c r="I12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2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29" s="2" t="str">
        <f>IFERROR(IF(_xlfn.MINIFS(tblActivities[Activity_Date],tblActivities[Activity_Type],"Hired",tblActivities[Candidate_ID],Data_Model[[#This Row],[Candidate_ID]])=0,"",_xlfn.MINIFS(tblActivities[Activity_Date],tblActivities[Activity_Type],"Hired",tblActivities[Candidate_ID],Data_Model[[#This Row],[Candidate_ID]])),"")</f>
        <v/>
      </c>
      <c r="L129">
        <f>IF(Data_Model[[#This Row],[Submission_Date]]="",0,1)</f>
        <v>0</v>
      </c>
      <c r="M129">
        <f>IF(Data_Model[[#This Row],[Interview_Date]]="",0,1)</f>
        <v>0</v>
      </c>
      <c r="N129">
        <f>IF(Data_Model[[#This Row],[Hire_Date]]="",0,1)</f>
        <v>0</v>
      </c>
      <c r="O129" t="str">
        <f>IF(OR(Data_Model[ [#This Row],[Submission_Date] ]= "",Data_Model[[#This Row],[Resume_Date]] = "",Data_Model[[#This Row],[Submission_Date]] &lt; Data_Model[[#This Row],[Resume_Date]]), "",Data_Model[[#This Row],[Submission_Date]] - Data_Model[[#This Row],[Resume_Date]])</f>
        <v/>
      </c>
      <c r="P129" t="str">
        <f>IF(OR(Data_Model[[#This Row],[Submission_Date]]="",Data_Model[[#This Row],[Interview_Date]]="",Data_Model[[#This Row],[Interview_Date]] &lt; Data_Model[[#This Row],[Submission_Date]]),"",Data_Model[[#This Row],[Interview_Date]]-Data_Model[[#This Row],[Submission_Date]])</f>
        <v/>
      </c>
      <c r="Q129" s="4" t="str">
        <f>IF(OR(Data_Model[[#This Row],[Submission_Date]]="",Data_Model[[#This Row],[Hire_Date]]="",Data_Model[[#This Row],[Hire_Date]] &lt; Data_Model[[#This Row],[Submission_Date]]),"",Data_Model[[#This Row],[Hire_Date]]-Data_Model[[#This Row],[Submission_Date]])</f>
        <v/>
      </c>
      <c r="R129" s="4">
        <f>IF(AND(Data_Model[[#This Row],[Submission_Flag]]=1,Data_Model[[#This Row],[Hire_Flag]]=1,Data_Model[[#This Row],[Hire_Date]]&lt;Data_Model[[#This Row],[Submission_Date]]),1,0)</f>
        <v>0</v>
      </c>
    </row>
    <row r="130" spans="1:18" x14ac:dyDescent="0.25">
      <c r="A130" t="s">
        <v>179</v>
      </c>
      <c r="B130" t="s">
        <v>10</v>
      </c>
      <c r="C130" t="s">
        <v>45</v>
      </c>
      <c r="D130" t="s">
        <v>50</v>
      </c>
      <c r="E130" s="2">
        <v>45674</v>
      </c>
      <c r="F130" t="s">
        <v>46</v>
      </c>
      <c r="G130">
        <v>5</v>
      </c>
      <c r="H130" t="s">
        <v>57</v>
      </c>
      <c r="I13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3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45667</v>
      </c>
      <c r="K130" s="2" t="str">
        <f>IFERROR(IF(_xlfn.MINIFS(tblActivities[Activity_Date],tblActivities[Activity_Type],"Hired",tblActivities[Candidate_ID],Data_Model[[#This Row],[Candidate_ID]])=0,"",_xlfn.MINIFS(tblActivities[Activity_Date],tblActivities[Activity_Type],"Hired",tblActivities[Candidate_ID],Data_Model[[#This Row],[Candidate_ID]])),"")</f>
        <v/>
      </c>
      <c r="L130">
        <f>IF(Data_Model[[#This Row],[Submission_Date]]="",0,1)</f>
        <v>0</v>
      </c>
      <c r="M130">
        <f>IF(Data_Model[[#This Row],[Interview_Date]]="",0,1)</f>
        <v>1</v>
      </c>
      <c r="N130">
        <f>IF(Data_Model[[#This Row],[Hire_Date]]="",0,1)</f>
        <v>0</v>
      </c>
      <c r="O130" t="str">
        <f>IF(OR(Data_Model[ [#This Row],[Submission_Date] ]= "",Data_Model[[#This Row],[Resume_Date]] = "",Data_Model[[#This Row],[Submission_Date]] &lt; Data_Model[[#This Row],[Resume_Date]]), "",Data_Model[[#This Row],[Submission_Date]] - Data_Model[[#This Row],[Resume_Date]])</f>
        <v/>
      </c>
      <c r="P130" t="str">
        <f>IF(OR(Data_Model[[#This Row],[Submission_Date]]="",Data_Model[[#This Row],[Interview_Date]]="",Data_Model[[#This Row],[Interview_Date]] &lt; Data_Model[[#This Row],[Submission_Date]]),"",Data_Model[[#This Row],[Interview_Date]]-Data_Model[[#This Row],[Submission_Date]])</f>
        <v/>
      </c>
      <c r="Q130" s="4" t="str">
        <f>IF(OR(Data_Model[[#This Row],[Submission_Date]]="",Data_Model[[#This Row],[Hire_Date]]="",Data_Model[[#This Row],[Hire_Date]] &lt; Data_Model[[#This Row],[Submission_Date]]),"",Data_Model[[#This Row],[Hire_Date]]-Data_Model[[#This Row],[Submission_Date]])</f>
        <v/>
      </c>
      <c r="R130" s="4">
        <f>IF(AND(Data_Model[[#This Row],[Submission_Flag]]=1,Data_Model[[#This Row],[Hire_Flag]]=1,Data_Model[[#This Row],[Hire_Date]]&lt;Data_Model[[#This Row],[Submission_Date]]),1,0)</f>
        <v>0</v>
      </c>
    </row>
    <row r="131" spans="1:18" x14ac:dyDescent="0.25">
      <c r="A131" t="s">
        <v>180</v>
      </c>
      <c r="B131" t="s">
        <v>17</v>
      </c>
      <c r="C131" t="s">
        <v>49</v>
      </c>
      <c r="D131" t="s">
        <v>34</v>
      </c>
      <c r="E131" s="2">
        <v>45673</v>
      </c>
      <c r="F131" t="s">
        <v>43</v>
      </c>
      <c r="G131">
        <v>10</v>
      </c>
      <c r="H131" t="s">
        <v>60</v>
      </c>
      <c r="I13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13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45672</v>
      </c>
      <c r="K131" s="2" t="str">
        <f>IFERROR(IF(_xlfn.MINIFS(tblActivities[Activity_Date],tblActivities[Activity_Type],"Hired",tblActivities[Candidate_ID],Data_Model[[#This Row],[Candidate_ID]])=0,"",_xlfn.MINIFS(tblActivities[Activity_Date],tblActivities[Activity_Type],"Hired",tblActivities[Candidate_ID],Data_Model[[#This Row],[Candidate_ID]])),"")</f>
        <v/>
      </c>
      <c r="L131">
        <f>IF(Data_Model[[#This Row],[Submission_Date]]="",0,1)</f>
        <v>1</v>
      </c>
      <c r="M131">
        <f>IF(Data_Model[[#This Row],[Interview_Date]]="",0,1)</f>
        <v>1</v>
      </c>
      <c r="N131">
        <f>IF(Data_Model[[#This Row],[Hire_Date]]="",0,1)</f>
        <v>0</v>
      </c>
      <c r="O131" t="str">
        <f>IF(OR(Data_Model[ [#This Row],[Submission_Date] ]= "",Data_Model[[#This Row],[Resume_Date]] = "",Data_Model[[#This Row],[Submission_Date]] &lt; Data_Model[[#This Row],[Resume_Date]]), "",Data_Model[[#This Row],[Submission_Date]] - Data_Model[[#This Row],[Resume_Date]])</f>
        <v/>
      </c>
      <c r="P131">
        <f>IF(OR(Data_Model[[#This Row],[Submission_Date]]="",Data_Model[[#This Row],[Interview_Date]]="",Data_Model[[#This Row],[Interview_Date]] &lt; Data_Model[[#This Row],[Submission_Date]]),"",Data_Model[[#This Row],[Interview_Date]]-Data_Model[[#This Row],[Submission_Date]])</f>
        <v>2</v>
      </c>
      <c r="Q131" s="4" t="str">
        <f>IF(OR(Data_Model[[#This Row],[Submission_Date]]="",Data_Model[[#This Row],[Hire_Date]]="",Data_Model[[#This Row],[Hire_Date]] &lt; Data_Model[[#This Row],[Submission_Date]]),"",Data_Model[[#This Row],[Hire_Date]]-Data_Model[[#This Row],[Submission_Date]])</f>
        <v/>
      </c>
      <c r="R131" s="4">
        <f>IF(AND(Data_Model[[#This Row],[Submission_Flag]]=1,Data_Model[[#This Row],[Hire_Flag]]=1,Data_Model[[#This Row],[Hire_Date]]&lt;Data_Model[[#This Row],[Submission_Date]]),1,0)</f>
        <v>0</v>
      </c>
    </row>
    <row r="132" spans="1:18" x14ac:dyDescent="0.25">
      <c r="A132" t="s">
        <v>181</v>
      </c>
      <c r="B132" t="s">
        <v>10</v>
      </c>
      <c r="C132" t="s">
        <v>33</v>
      </c>
      <c r="D132" t="s">
        <v>34</v>
      </c>
      <c r="E132" s="2">
        <v>45664</v>
      </c>
      <c r="F132" t="s">
        <v>40</v>
      </c>
      <c r="G132">
        <v>9</v>
      </c>
      <c r="H132" t="s">
        <v>36</v>
      </c>
      <c r="I13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3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32" s="2" t="str">
        <f>IFERROR(IF(_xlfn.MINIFS(tblActivities[Activity_Date],tblActivities[Activity_Type],"Hired",tblActivities[Candidate_ID],Data_Model[[#This Row],[Candidate_ID]])=0,"",_xlfn.MINIFS(tblActivities[Activity_Date],tblActivities[Activity_Type],"Hired",tblActivities[Candidate_ID],Data_Model[[#This Row],[Candidate_ID]])),"")</f>
        <v/>
      </c>
      <c r="L132">
        <f>IF(Data_Model[[#This Row],[Submission_Date]]="",0,1)</f>
        <v>0</v>
      </c>
      <c r="M132">
        <f>IF(Data_Model[[#This Row],[Interview_Date]]="",0,1)</f>
        <v>0</v>
      </c>
      <c r="N132">
        <f>IF(Data_Model[[#This Row],[Hire_Date]]="",0,1)</f>
        <v>0</v>
      </c>
      <c r="O132" t="str">
        <f>IF(OR(Data_Model[ [#This Row],[Submission_Date] ]= "",Data_Model[[#This Row],[Resume_Date]] = "",Data_Model[[#This Row],[Submission_Date]] &lt; Data_Model[[#This Row],[Resume_Date]]), "",Data_Model[[#This Row],[Submission_Date]] - Data_Model[[#This Row],[Resume_Date]])</f>
        <v/>
      </c>
      <c r="P132" t="str">
        <f>IF(OR(Data_Model[[#This Row],[Submission_Date]]="",Data_Model[[#This Row],[Interview_Date]]="",Data_Model[[#This Row],[Interview_Date]] &lt; Data_Model[[#This Row],[Submission_Date]]),"",Data_Model[[#This Row],[Interview_Date]]-Data_Model[[#This Row],[Submission_Date]])</f>
        <v/>
      </c>
      <c r="Q132" s="4" t="str">
        <f>IF(OR(Data_Model[[#This Row],[Submission_Date]]="",Data_Model[[#This Row],[Hire_Date]]="",Data_Model[[#This Row],[Hire_Date]] &lt; Data_Model[[#This Row],[Submission_Date]]),"",Data_Model[[#This Row],[Hire_Date]]-Data_Model[[#This Row],[Submission_Date]])</f>
        <v/>
      </c>
      <c r="R132" s="4">
        <f>IF(AND(Data_Model[[#This Row],[Submission_Flag]]=1,Data_Model[[#This Row],[Hire_Flag]]=1,Data_Model[[#This Row],[Hire_Date]]&lt;Data_Model[[#This Row],[Submission_Date]]),1,0)</f>
        <v>0</v>
      </c>
    </row>
    <row r="133" spans="1:18" x14ac:dyDescent="0.25">
      <c r="A133" t="s">
        <v>182</v>
      </c>
      <c r="B133" t="s">
        <v>24</v>
      </c>
      <c r="C133" t="s">
        <v>45</v>
      </c>
      <c r="D133" t="s">
        <v>39</v>
      </c>
      <c r="E133" s="2">
        <v>45664</v>
      </c>
      <c r="F133" t="s">
        <v>35</v>
      </c>
      <c r="G133">
        <v>6</v>
      </c>
      <c r="H133" t="s">
        <v>47</v>
      </c>
      <c r="I13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3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33" s="2" t="str">
        <f>IFERROR(IF(_xlfn.MINIFS(tblActivities[Activity_Date],tblActivities[Activity_Type],"Hired",tblActivities[Candidate_ID],Data_Model[[#This Row],[Candidate_ID]])=0,"",_xlfn.MINIFS(tblActivities[Activity_Date],tblActivities[Activity_Type],"Hired",tblActivities[Candidate_ID],Data_Model[[#This Row],[Candidate_ID]])),"")</f>
        <v/>
      </c>
      <c r="L133">
        <f>IF(Data_Model[[#This Row],[Submission_Date]]="",0,1)</f>
        <v>0</v>
      </c>
      <c r="M133">
        <f>IF(Data_Model[[#This Row],[Interview_Date]]="",0,1)</f>
        <v>0</v>
      </c>
      <c r="N133">
        <f>IF(Data_Model[[#This Row],[Hire_Date]]="",0,1)</f>
        <v>0</v>
      </c>
      <c r="O133" t="str">
        <f>IF(OR(Data_Model[ [#This Row],[Submission_Date] ]= "",Data_Model[[#This Row],[Resume_Date]] = "",Data_Model[[#This Row],[Submission_Date]] &lt; Data_Model[[#This Row],[Resume_Date]]), "",Data_Model[[#This Row],[Submission_Date]] - Data_Model[[#This Row],[Resume_Date]])</f>
        <v/>
      </c>
      <c r="P133" t="str">
        <f>IF(OR(Data_Model[[#This Row],[Submission_Date]]="",Data_Model[[#This Row],[Interview_Date]]="",Data_Model[[#This Row],[Interview_Date]] &lt; Data_Model[[#This Row],[Submission_Date]]),"",Data_Model[[#This Row],[Interview_Date]]-Data_Model[[#This Row],[Submission_Date]])</f>
        <v/>
      </c>
      <c r="Q133" s="4" t="str">
        <f>IF(OR(Data_Model[[#This Row],[Submission_Date]]="",Data_Model[[#This Row],[Hire_Date]]="",Data_Model[[#This Row],[Hire_Date]] &lt; Data_Model[[#This Row],[Submission_Date]]),"",Data_Model[[#This Row],[Hire_Date]]-Data_Model[[#This Row],[Submission_Date]])</f>
        <v/>
      </c>
      <c r="R133" s="4">
        <f>IF(AND(Data_Model[[#This Row],[Submission_Flag]]=1,Data_Model[[#This Row],[Hire_Flag]]=1,Data_Model[[#This Row],[Hire_Date]]&lt;Data_Model[[#This Row],[Submission_Date]]),1,0)</f>
        <v>0</v>
      </c>
    </row>
    <row r="134" spans="1:18" x14ac:dyDescent="0.25">
      <c r="A134" t="s">
        <v>183</v>
      </c>
      <c r="B134" t="s">
        <v>23</v>
      </c>
      <c r="C134" t="s">
        <v>49</v>
      </c>
      <c r="D134" t="s">
        <v>50</v>
      </c>
      <c r="E134" s="2">
        <v>45671</v>
      </c>
      <c r="F134" t="s">
        <v>64</v>
      </c>
      <c r="G134">
        <v>9</v>
      </c>
      <c r="H134" t="s">
        <v>36</v>
      </c>
      <c r="I134"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45682</v>
      </c>
      <c r="J13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45677</v>
      </c>
      <c r="K134" s="2" t="str">
        <f>IFERROR(IF(_xlfn.MINIFS(tblActivities[Activity_Date],tblActivities[Activity_Type],"Hired",tblActivities[Candidate_ID],Data_Model[[#This Row],[Candidate_ID]])=0,"",_xlfn.MINIFS(tblActivities[Activity_Date],tblActivities[Activity_Type],"Hired",tblActivities[Candidate_ID],Data_Model[[#This Row],[Candidate_ID]])),"")</f>
        <v/>
      </c>
      <c r="L134">
        <f>IF(Data_Model[[#This Row],[Submission_Date]]="",0,1)</f>
        <v>1</v>
      </c>
      <c r="M134">
        <f>IF(Data_Model[[#This Row],[Interview_Date]]="",0,1)</f>
        <v>1</v>
      </c>
      <c r="N134">
        <f>IF(Data_Model[[#This Row],[Hire_Date]]="",0,1)</f>
        <v>0</v>
      </c>
      <c r="O134">
        <f>IF(OR(Data_Model[ [#This Row],[Submission_Date] ]= "",Data_Model[[#This Row],[Resume_Date]] = "",Data_Model[[#This Row],[Submission_Date]] &lt; Data_Model[[#This Row],[Resume_Date]]), "",Data_Model[[#This Row],[Submission_Date]] - Data_Model[[#This Row],[Resume_Date]])</f>
        <v>11</v>
      </c>
      <c r="P134" t="str">
        <f>IF(OR(Data_Model[[#This Row],[Submission_Date]]="",Data_Model[[#This Row],[Interview_Date]]="",Data_Model[[#This Row],[Interview_Date]] &lt; Data_Model[[#This Row],[Submission_Date]]),"",Data_Model[[#This Row],[Interview_Date]]-Data_Model[[#This Row],[Submission_Date]])</f>
        <v/>
      </c>
      <c r="Q134" s="4" t="str">
        <f>IF(OR(Data_Model[[#This Row],[Submission_Date]]="",Data_Model[[#This Row],[Hire_Date]]="",Data_Model[[#This Row],[Hire_Date]] &lt; Data_Model[[#This Row],[Submission_Date]]),"",Data_Model[[#This Row],[Hire_Date]]-Data_Model[[#This Row],[Submission_Date]])</f>
        <v/>
      </c>
      <c r="R134" s="4">
        <f>IF(AND(Data_Model[[#This Row],[Submission_Flag]]=1,Data_Model[[#This Row],[Hire_Flag]]=1,Data_Model[[#This Row],[Hire_Date]]&lt;Data_Model[[#This Row],[Submission_Date]]),1,0)</f>
        <v>0</v>
      </c>
    </row>
    <row r="135" spans="1:18" x14ac:dyDescent="0.25">
      <c r="A135" t="s">
        <v>184</v>
      </c>
      <c r="B135" t="s">
        <v>24</v>
      </c>
      <c r="C135" t="s">
        <v>49</v>
      </c>
      <c r="D135" t="s">
        <v>52</v>
      </c>
      <c r="E135" s="2">
        <v>45664</v>
      </c>
      <c r="F135" t="s">
        <v>43</v>
      </c>
      <c r="G135">
        <v>7</v>
      </c>
      <c r="H135" t="s">
        <v>47</v>
      </c>
      <c r="I13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3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45670</v>
      </c>
      <c r="K135" s="2">
        <f>IFERROR(IF(_xlfn.MINIFS(tblActivities[Activity_Date],tblActivities[Activity_Type],"Hired",tblActivities[Candidate_ID],Data_Model[[#This Row],[Candidate_ID]])=0,"",_xlfn.MINIFS(tblActivities[Activity_Date],tblActivities[Activity_Type],"Hired",tblActivities[Candidate_ID],Data_Model[[#This Row],[Candidate_ID]])),"")</f>
        <v>45666</v>
      </c>
      <c r="L135">
        <f>IF(Data_Model[[#This Row],[Submission_Date]]="",0,1)</f>
        <v>0</v>
      </c>
      <c r="M135">
        <f>IF(Data_Model[[#This Row],[Interview_Date]]="",0,1)</f>
        <v>1</v>
      </c>
      <c r="N135">
        <f>IF(Data_Model[[#This Row],[Hire_Date]]="",0,1)</f>
        <v>1</v>
      </c>
      <c r="O135" t="str">
        <f>IF(OR(Data_Model[ [#This Row],[Submission_Date] ]= "",Data_Model[[#This Row],[Resume_Date]] = "",Data_Model[[#This Row],[Submission_Date]] &lt; Data_Model[[#This Row],[Resume_Date]]), "",Data_Model[[#This Row],[Submission_Date]] - Data_Model[[#This Row],[Resume_Date]])</f>
        <v/>
      </c>
      <c r="P135" t="str">
        <f>IF(OR(Data_Model[[#This Row],[Submission_Date]]="",Data_Model[[#This Row],[Interview_Date]]="",Data_Model[[#This Row],[Interview_Date]] &lt; Data_Model[[#This Row],[Submission_Date]]),"",Data_Model[[#This Row],[Interview_Date]]-Data_Model[[#This Row],[Submission_Date]])</f>
        <v/>
      </c>
      <c r="Q135" s="4" t="str">
        <f>IF(OR(Data_Model[[#This Row],[Submission_Date]]="",Data_Model[[#This Row],[Hire_Date]]="",Data_Model[[#This Row],[Hire_Date]] &lt; Data_Model[[#This Row],[Submission_Date]]),"",Data_Model[[#This Row],[Hire_Date]]-Data_Model[[#This Row],[Submission_Date]])</f>
        <v/>
      </c>
      <c r="R135" s="4">
        <f>IF(AND(Data_Model[[#This Row],[Submission_Flag]]=1,Data_Model[[#This Row],[Hire_Flag]]=1,Data_Model[[#This Row],[Hire_Date]]&lt;Data_Model[[#This Row],[Submission_Date]]),1,0)</f>
        <v>0</v>
      </c>
    </row>
    <row r="136" spans="1:18" x14ac:dyDescent="0.25">
      <c r="A136" t="s">
        <v>185</v>
      </c>
      <c r="B136" t="s">
        <v>13</v>
      </c>
      <c r="C136" t="s">
        <v>45</v>
      </c>
      <c r="D136" t="s">
        <v>50</v>
      </c>
      <c r="E136" s="2">
        <v>45662</v>
      </c>
      <c r="F136" t="s">
        <v>43</v>
      </c>
      <c r="G136">
        <v>9</v>
      </c>
      <c r="H136" t="s">
        <v>36</v>
      </c>
      <c r="I13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45684</v>
      </c>
      <c r="J13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36" s="2" t="str">
        <f>IFERROR(IF(_xlfn.MINIFS(tblActivities[Activity_Date],tblActivities[Activity_Type],"Hired",tblActivities[Candidate_ID],Data_Model[[#This Row],[Candidate_ID]])=0,"",_xlfn.MINIFS(tblActivities[Activity_Date],tblActivities[Activity_Type],"Hired",tblActivities[Candidate_ID],Data_Model[[#This Row],[Candidate_ID]])),"")</f>
        <v/>
      </c>
      <c r="L136">
        <f>IF(Data_Model[[#This Row],[Submission_Date]]="",0,1)</f>
        <v>1</v>
      </c>
      <c r="M136">
        <f>IF(Data_Model[[#This Row],[Interview_Date]]="",0,1)</f>
        <v>0</v>
      </c>
      <c r="N136">
        <f>IF(Data_Model[[#This Row],[Hire_Date]]="",0,1)</f>
        <v>0</v>
      </c>
      <c r="O136">
        <f>IF(OR(Data_Model[ [#This Row],[Submission_Date] ]= "",Data_Model[[#This Row],[Resume_Date]] = "",Data_Model[[#This Row],[Submission_Date]] &lt; Data_Model[[#This Row],[Resume_Date]]), "",Data_Model[[#This Row],[Submission_Date]] - Data_Model[[#This Row],[Resume_Date]])</f>
        <v>22</v>
      </c>
      <c r="P136" t="str">
        <f>IF(OR(Data_Model[[#This Row],[Submission_Date]]="",Data_Model[[#This Row],[Interview_Date]]="",Data_Model[[#This Row],[Interview_Date]] &lt; Data_Model[[#This Row],[Submission_Date]]),"",Data_Model[[#This Row],[Interview_Date]]-Data_Model[[#This Row],[Submission_Date]])</f>
        <v/>
      </c>
      <c r="Q136" s="4" t="str">
        <f>IF(OR(Data_Model[[#This Row],[Submission_Date]]="",Data_Model[[#This Row],[Hire_Date]]="",Data_Model[[#This Row],[Hire_Date]] &lt; Data_Model[[#This Row],[Submission_Date]]),"",Data_Model[[#This Row],[Hire_Date]]-Data_Model[[#This Row],[Submission_Date]])</f>
        <v/>
      </c>
      <c r="R136" s="4">
        <f>IF(AND(Data_Model[[#This Row],[Submission_Flag]]=1,Data_Model[[#This Row],[Hire_Flag]]=1,Data_Model[[#This Row],[Hire_Date]]&lt;Data_Model[[#This Row],[Submission_Date]]),1,0)</f>
        <v>0</v>
      </c>
    </row>
    <row r="137" spans="1:18" x14ac:dyDescent="0.25">
      <c r="A137" t="s">
        <v>186</v>
      </c>
      <c r="B137" t="s">
        <v>13</v>
      </c>
      <c r="C137" t="s">
        <v>38</v>
      </c>
      <c r="D137" t="s">
        <v>42</v>
      </c>
      <c r="E137" s="2">
        <v>45676</v>
      </c>
      <c r="F137" t="s">
        <v>40</v>
      </c>
      <c r="G137">
        <v>2</v>
      </c>
      <c r="H137" t="s">
        <v>57</v>
      </c>
      <c r="I13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13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37" s="2">
        <f>IFERROR(IF(_xlfn.MINIFS(tblActivities[Activity_Date],tblActivities[Activity_Type],"Hired",tblActivities[Candidate_ID],Data_Model[[#This Row],[Candidate_ID]])=0,"",_xlfn.MINIFS(tblActivities[Activity_Date],tblActivities[Activity_Type],"Hired",tblActivities[Candidate_ID],Data_Model[[#This Row],[Candidate_ID]])),"")</f>
        <v>45681</v>
      </c>
      <c r="L137">
        <f>IF(Data_Model[[#This Row],[Submission_Date]]="",0,1)</f>
        <v>1</v>
      </c>
      <c r="M137">
        <f>IF(Data_Model[[#This Row],[Interview_Date]]="",0,1)</f>
        <v>0</v>
      </c>
      <c r="N137">
        <f>IF(Data_Model[[#This Row],[Hire_Date]]="",0,1)</f>
        <v>1</v>
      </c>
      <c r="O137">
        <f>IF(OR(Data_Model[ [#This Row],[Submission_Date] ]= "",Data_Model[[#This Row],[Resume_Date]] = "",Data_Model[[#This Row],[Submission_Date]] &lt; Data_Model[[#This Row],[Resume_Date]]), "",Data_Model[[#This Row],[Submission_Date]] - Data_Model[[#This Row],[Resume_Date]])</f>
        <v>1</v>
      </c>
      <c r="P137" t="str">
        <f>IF(OR(Data_Model[[#This Row],[Submission_Date]]="",Data_Model[[#This Row],[Interview_Date]]="",Data_Model[[#This Row],[Interview_Date]] &lt; Data_Model[[#This Row],[Submission_Date]]),"",Data_Model[[#This Row],[Interview_Date]]-Data_Model[[#This Row],[Submission_Date]])</f>
        <v/>
      </c>
      <c r="Q137" s="4">
        <f>IF(OR(Data_Model[[#This Row],[Submission_Date]]="",Data_Model[[#This Row],[Hire_Date]]="",Data_Model[[#This Row],[Hire_Date]] &lt; Data_Model[[#This Row],[Submission_Date]]),"",Data_Model[[#This Row],[Hire_Date]]-Data_Model[[#This Row],[Submission_Date]])</f>
        <v>4</v>
      </c>
      <c r="R137" s="4">
        <f>IF(AND(Data_Model[[#This Row],[Submission_Flag]]=1,Data_Model[[#This Row],[Hire_Flag]]=1,Data_Model[[#This Row],[Hire_Date]]&lt;Data_Model[[#This Row],[Submission_Date]]),1,0)</f>
        <v>0</v>
      </c>
    </row>
    <row r="138" spans="1:18" x14ac:dyDescent="0.25">
      <c r="A138" t="s">
        <v>187</v>
      </c>
      <c r="B138" t="s">
        <v>10</v>
      </c>
      <c r="C138" t="s">
        <v>45</v>
      </c>
      <c r="D138" t="s">
        <v>42</v>
      </c>
      <c r="E138" s="2">
        <v>45676</v>
      </c>
      <c r="F138" t="s">
        <v>35</v>
      </c>
      <c r="G138">
        <v>8</v>
      </c>
      <c r="H138" t="s">
        <v>57</v>
      </c>
      <c r="I138"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45681</v>
      </c>
      <c r="J13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38" s="2" t="str">
        <f>IFERROR(IF(_xlfn.MINIFS(tblActivities[Activity_Date],tblActivities[Activity_Type],"Hired",tblActivities[Candidate_ID],Data_Model[[#This Row],[Candidate_ID]])=0,"",_xlfn.MINIFS(tblActivities[Activity_Date],tblActivities[Activity_Type],"Hired",tblActivities[Candidate_ID],Data_Model[[#This Row],[Candidate_ID]])),"")</f>
        <v/>
      </c>
      <c r="L138">
        <f>IF(Data_Model[[#This Row],[Submission_Date]]="",0,1)</f>
        <v>1</v>
      </c>
      <c r="M138">
        <f>IF(Data_Model[[#This Row],[Interview_Date]]="",0,1)</f>
        <v>0</v>
      </c>
      <c r="N138">
        <f>IF(Data_Model[[#This Row],[Hire_Date]]="",0,1)</f>
        <v>0</v>
      </c>
      <c r="O138">
        <f>IF(OR(Data_Model[ [#This Row],[Submission_Date] ]= "",Data_Model[[#This Row],[Resume_Date]] = "",Data_Model[[#This Row],[Submission_Date]] &lt; Data_Model[[#This Row],[Resume_Date]]), "",Data_Model[[#This Row],[Submission_Date]] - Data_Model[[#This Row],[Resume_Date]])</f>
        <v>5</v>
      </c>
      <c r="P138" t="str">
        <f>IF(OR(Data_Model[[#This Row],[Submission_Date]]="",Data_Model[[#This Row],[Interview_Date]]="",Data_Model[[#This Row],[Interview_Date]] &lt; Data_Model[[#This Row],[Submission_Date]]),"",Data_Model[[#This Row],[Interview_Date]]-Data_Model[[#This Row],[Submission_Date]])</f>
        <v/>
      </c>
      <c r="Q138" s="4" t="str">
        <f>IF(OR(Data_Model[[#This Row],[Submission_Date]]="",Data_Model[[#This Row],[Hire_Date]]="",Data_Model[[#This Row],[Hire_Date]] &lt; Data_Model[[#This Row],[Submission_Date]]),"",Data_Model[[#This Row],[Hire_Date]]-Data_Model[[#This Row],[Submission_Date]])</f>
        <v/>
      </c>
      <c r="R138" s="4">
        <f>IF(AND(Data_Model[[#This Row],[Submission_Flag]]=1,Data_Model[[#This Row],[Hire_Flag]]=1,Data_Model[[#This Row],[Hire_Date]]&lt;Data_Model[[#This Row],[Submission_Date]]),1,0)</f>
        <v>0</v>
      </c>
    </row>
    <row r="139" spans="1:18" x14ac:dyDescent="0.25">
      <c r="A139" t="s">
        <v>188</v>
      </c>
      <c r="B139" t="s">
        <v>24</v>
      </c>
      <c r="C139" t="s">
        <v>49</v>
      </c>
      <c r="D139" t="s">
        <v>39</v>
      </c>
      <c r="E139" s="2">
        <v>45677</v>
      </c>
      <c r="F139" t="s">
        <v>46</v>
      </c>
      <c r="G139">
        <v>10</v>
      </c>
      <c r="H139" t="s">
        <v>57</v>
      </c>
      <c r="I13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3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39" s="2">
        <f>IFERROR(IF(_xlfn.MINIFS(tblActivities[Activity_Date],tblActivities[Activity_Type],"Hired",tblActivities[Candidate_ID],Data_Model[[#This Row],[Candidate_ID]])=0,"",_xlfn.MINIFS(tblActivities[Activity_Date],tblActivities[Activity_Type],"Hired",tblActivities[Candidate_ID],Data_Model[[#This Row],[Candidate_ID]])),"")</f>
        <v>45678</v>
      </c>
      <c r="L139">
        <f>IF(Data_Model[[#This Row],[Submission_Date]]="",0,1)</f>
        <v>0</v>
      </c>
      <c r="M139">
        <f>IF(Data_Model[[#This Row],[Interview_Date]]="",0,1)</f>
        <v>0</v>
      </c>
      <c r="N139">
        <f>IF(Data_Model[[#This Row],[Hire_Date]]="",0,1)</f>
        <v>1</v>
      </c>
      <c r="O139" t="str">
        <f>IF(OR(Data_Model[ [#This Row],[Submission_Date] ]= "",Data_Model[[#This Row],[Resume_Date]] = "",Data_Model[[#This Row],[Submission_Date]] &lt; Data_Model[[#This Row],[Resume_Date]]), "",Data_Model[[#This Row],[Submission_Date]] - Data_Model[[#This Row],[Resume_Date]])</f>
        <v/>
      </c>
      <c r="P139" t="str">
        <f>IF(OR(Data_Model[[#This Row],[Submission_Date]]="",Data_Model[[#This Row],[Interview_Date]]="",Data_Model[[#This Row],[Interview_Date]] &lt; Data_Model[[#This Row],[Submission_Date]]),"",Data_Model[[#This Row],[Interview_Date]]-Data_Model[[#This Row],[Submission_Date]])</f>
        <v/>
      </c>
      <c r="Q139" s="4" t="str">
        <f>IF(OR(Data_Model[[#This Row],[Submission_Date]]="",Data_Model[[#This Row],[Hire_Date]]="",Data_Model[[#This Row],[Hire_Date]] &lt; Data_Model[[#This Row],[Submission_Date]]),"",Data_Model[[#This Row],[Hire_Date]]-Data_Model[[#This Row],[Submission_Date]])</f>
        <v/>
      </c>
      <c r="R139" s="4">
        <f>IF(AND(Data_Model[[#This Row],[Submission_Flag]]=1,Data_Model[[#This Row],[Hire_Flag]]=1,Data_Model[[#This Row],[Hire_Date]]&lt;Data_Model[[#This Row],[Submission_Date]]),1,0)</f>
        <v>0</v>
      </c>
    </row>
    <row r="140" spans="1:18" x14ac:dyDescent="0.25">
      <c r="A140" t="s">
        <v>189</v>
      </c>
      <c r="B140" t="s">
        <v>20</v>
      </c>
      <c r="C140" t="s">
        <v>49</v>
      </c>
      <c r="D140" t="s">
        <v>39</v>
      </c>
      <c r="E140" s="2">
        <v>45672</v>
      </c>
      <c r="F140" t="s">
        <v>64</v>
      </c>
      <c r="G140">
        <v>4</v>
      </c>
      <c r="H140" t="s">
        <v>60</v>
      </c>
      <c r="I14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45673</v>
      </c>
      <c r="J14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40" s="2" t="str">
        <f>IFERROR(IF(_xlfn.MINIFS(tblActivities[Activity_Date],tblActivities[Activity_Type],"Hired",tblActivities[Candidate_ID],Data_Model[[#This Row],[Candidate_ID]])=0,"",_xlfn.MINIFS(tblActivities[Activity_Date],tblActivities[Activity_Type],"Hired",tblActivities[Candidate_ID],Data_Model[[#This Row],[Candidate_ID]])),"")</f>
        <v/>
      </c>
      <c r="L140">
        <f>IF(Data_Model[[#This Row],[Submission_Date]]="",0,1)</f>
        <v>1</v>
      </c>
      <c r="M140">
        <f>IF(Data_Model[[#This Row],[Interview_Date]]="",0,1)</f>
        <v>0</v>
      </c>
      <c r="N140">
        <f>IF(Data_Model[[#This Row],[Hire_Date]]="",0,1)</f>
        <v>0</v>
      </c>
      <c r="O140">
        <f>IF(OR(Data_Model[ [#This Row],[Submission_Date] ]= "",Data_Model[[#This Row],[Resume_Date]] = "",Data_Model[[#This Row],[Submission_Date]] &lt; Data_Model[[#This Row],[Resume_Date]]), "",Data_Model[[#This Row],[Submission_Date]] - Data_Model[[#This Row],[Resume_Date]])</f>
        <v>1</v>
      </c>
      <c r="P140" t="str">
        <f>IF(OR(Data_Model[[#This Row],[Submission_Date]]="",Data_Model[[#This Row],[Interview_Date]]="",Data_Model[[#This Row],[Interview_Date]] &lt; Data_Model[[#This Row],[Submission_Date]]),"",Data_Model[[#This Row],[Interview_Date]]-Data_Model[[#This Row],[Submission_Date]])</f>
        <v/>
      </c>
      <c r="Q140" s="4" t="str">
        <f>IF(OR(Data_Model[[#This Row],[Submission_Date]]="",Data_Model[[#This Row],[Hire_Date]]="",Data_Model[[#This Row],[Hire_Date]] &lt; Data_Model[[#This Row],[Submission_Date]]),"",Data_Model[[#This Row],[Hire_Date]]-Data_Model[[#This Row],[Submission_Date]])</f>
        <v/>
      </c>
      <c r="R140" s="4">
        <f>IF(AND(Data_Model[[#This Row],[Submission_Flag]]=1,Data_Model[[#This Row],[Hire_Flag]]=1,Data_Model[[#This Row],[Hire_Date]]&lt;Data_Model[[#This Row],[Submission_Date]]),1,0)</f>
        <v>0</v>
      </c>
    </row>
    <row r="141" spans="1:18" x14ac:dyDescent="0.25">
      <c r="A141" t="s">
        <v>190</v>
      </c>
      <c r="B141" t="s">
        <v>19</v>
      </c>
      <c r="C141" t="s">
        <v>45</v>
      </c>
      <c r="D141" t="s">
        <v>52</v>
      </c>
      <c r="E141" s="2">
        <v>45667</v>
      </c>
      <c r="F141" t="s">
        <v>46</v>
      </c>
      <c r="G141">
        <v>7</v>
      </c>
      <c r="H141" t="s">
        <v>60</v>
      </c>
      <c r="I14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45685</v>
      </c>
      <c r="J14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45686</v>
      </c>
      <c r="K141" s="2" t="str">
        <f>IFERROR(IF(_xlfn.MINIFS(tblActivities[Activity_Date],tblActivities[Activity_Type],"Hired",tblActivities[Candidate_ID],Data_Model[[#This Row],[Candidate_ID]])=0,"",_xlfn.MINIFS(tblActivities[Activity_Date],tblActivities[Activity_Type],"Hired",tblActivities[Candidate_ID],Data_Model[[#This Row],[Candidate_ID]])),"")</f>
        <v/>
      </c>
      <c r="L141">
        <f>IF(Data_Model[[#This Row],[Submission_Date]]="",0,1)</f>
        <v>1</v>
      </c>
      <c r="M141">
        <f>IF(Data_Model[[#This Row],[Interview_Date]]="",0,1)</f>
        <v>1</v>
      </c>
      <c r="N141">
        <f>IF(Data_Model[[#This Row],[Hire_Date]]="",0,1)</f>
        <v>0</v>
      </c>
      <c r="O141">
        <f>IF(OR(Data_Model[ [#This Row],[Submission_Date] ]= "",Data_Model[[#This Row],[Resume_Date]] = "",Data_Model[[#This Row],[Submission_Date]] &lt; Data_Model[[#This Row],[Resume_Date]]), "",Data_Model[[#This Row],[Submission_Date]] - Data_Model[[#This Row],[Resume_Date]])</f>
        <v>18</v>
      </c>
      <c r="P141">
        <f>IF(OR(Data_Model[[#This Row],[Submission_Date]]="",Data_Model[[#This Row],[Interview_Date]]="",Data_Model[[#This Row],[Interview_Date]] &lt; Data_Model[[#This Row],[Submission_Date]]),"",Data_Model[[#This Row],[Interview_Date]]-Data_Model[[#This Row],[Submission_Date]])</f>
        <v>1</v>
      </c>
      <c r="Q141" s="4" t="str">
        <f>IF(OR(Data_Model[[#This Row],[Submission_Date]]="",Data_Model[[#This Row],[Hire_Date]]="",Data_Model[[#This Row],[Hire_Date]] &lt; Data_Model[[#This Row],[Submission_Date]]),"",Data_Model[[#This Row],[Hire_Date]]-Data_Model[[#This Row],[Submission_Date]])</f>
        <v/>
      </c>
      <c r="R141" s="4">
        <f>IF(AND(Data_Model[[#This Row],[Submission_Flag]]=1,Data_Model[[#This Row],[Hire_Flag]]=1,Data_Model[[#This Row],[Hire_Date]]&lt;Data_Model[[#This Row],[Submission_Date]]),1,0)</f>
        <v>0</v>
      </c>
    </row>
    <row r="142" spans="1:18" x14ac:dyDescent="0.25">
      <c r="A142" t="s">
        <v>191</v>
      </c>
      <c r="B142" t="s">
        <v>20</v>
      </c>
      <c r="C142" t="s">
        <v>49</v>
      </c>
      <c r="D142" t="s">
        <v>50</v>
      </c>
      <c r="E142" s="2">
        <v>45669</v>
      </c>
      <c r="F142" t="s">
        <v>62</v>
      </c>
      <c r="G142">
        <v>8</v>
      </c>
      <c r="H142" t="s">
        <v>60</v>
      </c>
      <c r="I14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4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45670</v>
      </c>
      <c r="K142" s="2" t="str">
        <f>IFERROR(IF(_xlfn.MINIFS(tblActivities[Activity_Date],tblActivities[Activity_Type],"Hired",tblActivities[Candidate_ID],Data_Model[[#This Row],[Candidate_ID]])=0,"",_xlfn.MINIFS(tblActivities[Activity_Date],tblActivities[Activity_Type],"Hired",tblActivities[Candidate_ID],Data_Model[[#This Row],[Candidate_ID]])),"")</f>
        <v/>
      </c>
      <c r="L142">
        <f>IF(Data_Model[[#This Row],[Submission_Date]]="",0,1)</f>
        <v>0</v>
      </c>
      <c r="M142">
        <f>IF(Data_Model[[#This Row],[Interview_Date]]="",0,1)</f>
        <v>1</v>
      </c>
      <c r="N142">
        <f>IF(Data_Model[[#This Row],[Hire_Date]]="",0,1)</f>
        <v>0</v>
      </c>
      <c r="O142" t="str">
        <f>IF(OR(Data_Model[ [#This Row],[Submission_Date] ]= "",Data_Model[[#This Row],[Resume_Date]] = "",Data_Model[[#This Row],[Submission_Date]] &lt; Data_Model[[#This Row],[Resume_Date]]), "",Data_Model[[#This Row],[Submission_Date]] - Data_Model[[#This Row],[Resume_Date]])</f>
        <v/>
      </c>
      <c r="P142" t="str">
        <f>IF(OR(Data_Model[[#This Row],[Submission_Date]]="",Data_Model[[#This Row],[Interview_Date]]="",Data_Model[[#This Row],[Interview_Date]] &lt; Data_Model[[#This Row],[Submission_Date]]),"",Data_Model[[#This Row],[Interview_Date]]-Data_Model[[#This Row],[Submission_Date]])</f>
        <v/>
      </c>
      <c r="Q142" s="4" t="str">
        <f>IF(OR(Data_Model[[#This Row],[Submission_Date]]="",Data_Model[[#This Row],[Hire_Date]]="",Data_Model[[#This Row],[Hire_Date]] &lt; Data_Model[[#This Row],[Submission_Date]]),"",Data_Model[[#This Row],[Hire_Date]]-Data_Model[[#This Row],[Submission_Date]])</f>
        <v/>
      </c>
      <c r="R142" s="4">
        <f>IF(AND(Data_Model[[#This Row],[Submission_Flag]]=1,Data_Model[[#This Row],[Hire_Flag]]=1,Data_Model[[#This Row],[Hire_Date]]&lt;Data_Model[[#This Row],[Submission_Date]]),1,0)</f>
        <v>0</v>
      </c>
    </row>
    <row r="143" spans="1:18" x14ac:dyDescent="0.25">
      <c r="A143" t="s">
        <v>192</v>
      </c>
      <c r="B143" t="s">
        <v>6</v>
      </c>
      <c r="C143" t="s">
        <v>33</v>
      </c>
      <c r="D143" t="s">
        <v>50</v>
      </c>
      <c r="E143" s="2">
        <v>45672</v>
      </c>
      <c r="F143" t="s">
        <v>43</v>
      </c>
      <c r="G143">
        <v>1</v>
      </c>
      <c r="H143" t="s">
        <v>60</v>
      </c>
      <c r="I14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4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43" s="2">
        <f>IFERROR(IF(_xlfn.MINIFS(tblActivities[Activity_Date],tblActivities[Activity_Type],"Hired",tblActivities[Candidate_ID],Data_Model[[#This Row],[Candidate_ID]])=0,"",_xlfn.MINIFS(tblActivities[Activity_Date],tblActivities[Activity_Type],"Hired",tblActivities[Candidate_ID],Data_Model[[#This Row],[Candidate_ID]])),"")</f>
        <v>45691</v>
      </c>
      <c r="L143">
        <f>IF(Data_Model[[#This Row],[Submission_Date]]="",0,1)</f>
        <v>0</v>
      </c>
      <c r="M143">
        <f>IF(Data_Model[[#This Row],[Interview_Date]]="",0,1)</f>
        <v>0</v>
      </c>
      <c r="N143">
        <f>IF(Data_Model[[#This Row],[Hire_Date]]="",0,1)</f>
        <v>1</v>
      </c>
      <c r="O143" t="str">
        <f>IF(OR(Data_Model[ [#This Row],[Submission_Date] ]= "",Data_Model[[#This Row],[Resume_Date]] = "",Data_Model[[#This Row],[Submission_Date]] &lt; Data_Model[[#This Row],[Resume_Date]]), "",Data_Model[[#This Row],[Submission_Date]] - Data_Model[[#This Row],[Resume_Date]])</f>
        <v/>
      </c>
      <c r="P143" t="str">
        <f>IF(OR(Data_Model[[#This Row],[Submission_Date]]="",Data_Model[[#This Row],[Interview_Date]]="",Data_Model[[#This Row],[Interview_Date]] &lt; Data_Model[[#This Row],[Submission_Date]]),"",Data_Model[[#This Row],[Interview_Date]]-Data_Model[[#This Row],[Submission_Date]])</f>
        <v/>
      </c>
      <c r="Q143" s="4" t="str">
        <f>IF(OR(Data_Model[[#This Row],[Submission_Date]]="",Data_Model[[#This Row],[Hire_Date]]="",Data_Model[[#This Row],[Hire_Date]] &lt; Data_Model[[#This Row],[Submission_Date]]),"",Data_Model[[#This Row],[Hire_Date]]-Data_Model[[#This Row],[Submission_Date]])</f>
        <v/>
      </c>
      <c r="R143" s="4">
        <f>IF(AND(Data_Model[[#This Row],[Submission_Flag]]=1,Data_Model[[#This Row],[Hire_Flag]]=1,Data_Model[[#This Row],[Hire_Date]]&lt;Data_Model[[#This Row],[Submission_Date]]),1,0)</f>
        <v>0</v>
      </c>
    </row>
    <row r="144" spans="1:18" x14ac:dyDescent="0.25">
      <c r="A144" t="s">
        <v>193</v>
      </c>
      <c r="B144" t="s">
        <v>17</v>
      </c>
      <c r="C144" t="s">
        <v>49</v>
      </c>
      <c r="D144" t="s">
        <v>42</v>
      </c>
      <c r="E144" s="2">
        <v>45666</v>
      </c>
      <c r="F144" t="s">
        <v>46</v>
      </c>
      <c r="G144">
        <v>3</v>
      </c>
      <c r="H144" t="s">
        <v>60</v>
      </c>
      <c r="I144"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45671</v>
      </c>
      <c r="J144"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44" s="2">
        <f>IFERROR(IF(_xlfn.MINIFS(tblActivities[Activity_Date],tblActivities[Activity_Type],"Hired",tblActivities[Candidate_ID],Data_Model[[#This Row],[Candidate_ID]])=0,"",_xlfn.MINIFS(tblActivities[Activity_Date],tblActivities[Activity_Type],"Hired",tblActivities[Candidate_ID],Data_Model[[#This Row],[Candidate_ID]])),"")</f>
        <v>45674</v>
      </c>
      <c r="L144">
        <f>IF(Data_Model[[#This Row],[Submission_Date]]="",0,1)</f>
        <v>1</v>
      </c>
      <c r="M144">
        <f>IF(Data_Model[[#This Row],[Interview_Date]]="",0,1)</f>
        <v>0</v>
      </c>
      <c r="N144">
        <f>IF(Data_Model[[#This Row],[Hire_Date]]="",0,1)</f>
        <v>1</v>
      </c>
      <c r="O144">
        <f>IF(OR(Data_Model[ [#This Row],[Submission_Date] ]= "",Data_Model[[#This Row],[Resume_Date]] = "",Data_Model[[#This Row],[Submission_Date]] &lt; Data_Model[[#This Row],[Resume_Date]]), "",Data_Model[[#This Row],[Submission_Date]] - Data_Model[[#This Row],[Resume_Date]])</f>
        <v>5</v>
      </c>
      <c r="P144" t="str">
        <f>IF(OR(Data_Model[[#This Row],[Submission_Date]]="",Data_Model[[#This Row],[Interview_Date]]="",Data_Model[[#This Row],[Interview_Date]] &lt; Data_Model[[#This Row],[Submission_Date]]),"",Data_Model[[#This Row],[Interview_Date]]-Data_Model[[#This Row],[Submission_Date]])</f>
        <v/>
      </c>
      <c r="Q144" s="4">
        <f>IF(OR(Data_Model[[#This Row],[Submission_Date]]="",Data_Model[[#This Row],[Hire_Date]]="",Data_Model[[#This Row],[Hire_Date]] &lt; Data_Model[[#This Row],[Submission_Date]]),"",Data_Model[[#This Row],[Hire_Date]]-Data_Model[[#This Row],[Submission_Date]])</f>
        <v>3</v>
      </c>
      <c r="R144" s="4">
        <f>IF(AND(Data_Model[[#This Row],[Submission_Flag]]=1,Data_Model[[#This Row],[Hire_Flag]]=1,Data_Model[[#This Row],[Hire_Date]]&lt;Data_Model[[#This Row],[Submission_Date]]),1,0)</f>
        <v>0</v>
      </c>
    </row>
    <row r="145" spans="1:18" x14ac:dyDescent="0.25">
      <c r="A145" t="s">
        <v>194</v>
      </c>
      <c r="B145" t="s">
        <v>20</v>
      </c>
      <c r="C145" t="s">
        <v>33</v>
      </c>
      <c r="D145" t="s">
        <v>34</v>
      </c>
      <c r="E145" s="2">
        <v>45669</v>
      </c>
      <c r="F145" t="s">
        <v>62</v>
      </c>
      <c r="G145">
        <v>5</v>
      </c>
      <c r="H145" t="s">
        <v>36</v>
      </c>
      <c r="I14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45684</v>
      </c>
      <c r="J14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45" s="2" t="str">
        <f>IFERROR(IF(_xlfn.MINIFS(tblActivities[Activity_Date],tblActivities[Activity_Type],"Hired",tblActivities[Candidate_ID],Data_Model[[#This Row],[Candidate_ID]])=0,"",_xlfn.MINIFS(tblActivities[Activity_Date],tblActivities[Activity_Type],"Hired",tblActivities[Candidate_ID],Data_Model[[#This Row],[Candidate_ID]])),"")</f>
        <v/>
      </c>
      <c r="L145">
        <f>IF(Data_Model[[#This Row],[Submission_Date]]="",0,1)</f>
        <v>1</v>
      </c>
      <c r="M145">
        <f>IF(Data_Model[[#This Row],[Interview_Date]]="",0,1)</f>
        <v>0</v>
      </c>
      <c r="N145">
        <f>IF(Data_Model[[#This Row],[Hire_Date]]="",0,1)</f>
        <v>0</v>
      </c>
      <c r="O145">
        <f>IF(OR(Data_Model[ [#This Row],[Submission_Date] ]= "",Data_Model[[#This Row],[Resume_Date]] = "",Data_Model[[#This Row],[Submission_Date]] &lt; Data_Model[[#This Row],[Resume_Date]]), "",Data_Model[[#This Row],[Submission_Date]] - Data_Model[[#This Row],[Resume_Date]])</f>
        <v>15</v>
      </c>
      <c r="P145" t="str">
        <f>IF(OR(Data_Model[[#This Row],[Submission_Date]]="",Data_Model[[#This Row],[Interview_Date]]="",Data_Model[[#This Row],[Interview_Date]] &lt; Data_Model[[#This Row],[Submission_Date]]),"",Data_Model[[#This Row],[Interview_Date]]-Data_Model[[#This Row],[Submission_Date]])</f>
        <v/>
      </c>
      <c r="Q145" s="4" t="str">
        <f>IF(OR(Data_Model[[#This Row],[Submission_Date]]="",Data_Model[[#This Row],[Hire_Date]]="",Data_Model[[#This Row],[Hire_Date]] &lt; Data_Model[[#This Row],[Submission_Date]]),"",Data_Model[[#This Row],[Hire_Date]]-Data_Model[[#This Row],[Submission_Date]])</f>
        <v/>
      </c>
      <c r="R145" s="4">
        <f>IF(AND(Data_Model[[#This Row],[Submission_Flag]]=1,Data_Model[[#This Row],[Hire_Flag]]=1,Data_Model[[#This Row],[Hire_Date]]&lt;Data_Model[[#This Row],[Submission_Date]]),1,0)</f>
        <v>0</v>
      </c>
    </row>
    <row r="146" spans="1:18" x14ac:dyDescent="0.25">
      <c r="A146" t="s">
        <v>195</v>
      </c>
      <c r="B146" t="s">
        <v>6</v>
      </c>
      <c r="C146" t="s">
        <v>33</v>
      </c>
      <c r="D146" t="s">
        <v>50</v>
      </c>
      <c r="E146" s="2">
        <v>45659</v>
      </c>
      <c r="F146" t="s">
        <v>46</v>
      </c>
      <c r="G146">
        <v>9</v>
      </c>
      <c r="H146" t="s">
        <v>57</v>
      </c>
      <c r="I146"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4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46" s="2">
        <f>IFERROR(IF(_xlfn.MINIFS(tblActivities[Activity_Date],tblActivities[Activity_Type],"Hired",tblActivities[Candidate_ID],Data_Model[[#This Row],[Candidate_ID]])=0,"",_xlfn.MINIFS(tblActivities[Activity_Date],tblActivities[Activity_Type],"Hired",tblActivities[Candidate_ID],Data_Model[[#This Row],[Candidate_ID]])),"")</f>
        <v>45675</v>
      </c>
      <c r="L146">
        <f>IF(Data_Model[[#This Row],[Submission_Date]]="",0,1)</f>
        <v>0</v>
      </c>
      <c r="M146">
        <f>IF(Data_Model[[#This Row],[Interview_Date]]="",0,1)</f>
        <v>0</v>
      </c>
      <c r="N146">
        <f>IF(Data_Model[[#This Row],[Hire_Date]]="",0,1)</f>
        <v>1</v>
      </c>
      <c r="O146" t="str">
        <f>IF(OR(Data_Model[ [#This Row],[Submission_Date] ]= "",Data_Model[[#This Row],[Resume_Date]] = "",Data_Model[[#This Row],[Submission_Date]] &lt; Data_Model[[#This Row],[Resume_Date]]), "",Data_Model[[#This Row],[Submission_Date]] - Data_Model[[#This Row],[Resume_Date]])</f>
        <v/>
      </c>
      <c r="P146" t="str">
        <f>IF(OR(Data_Model[[#This Row],[Submission_Date]]="",Data_Model[[#This Row],[Interview_Date]]="",Data_Model[[#This Row],[Interview_Date]] &lt; Data_Model[[#This Row],[Submission_Date]]),"",Data_Model[[#This Row],[Interview_Date]]-Data_Model[[#This Row],[Submission_Date]])</f>
        <v/>
      </c>
      <c r="Q146" s="4" t="str">
        <f>IF(OR(Data_Model[[#This Row],[Submission_Date]]="",Data_Model[[#This Row],[Hire_Date]]="",Data_Model[[#This Row],[Hire_Date]] &lt; Data_Model[[#This Row],[Submission_Date]]),"",Data_Model[[#This Row],[Hire_Date]]-Data_Model[[#This Row],[Submission_Date]])</f>
        <v/>
      </c>
      <c r="R146" s="4">
        <f>IF(AND(Data_Model[[#This Row],[Submission_Flag]]=1,Data_Model[[#This Row],[Hire_Flag]]=1,Data_Model[[#This Row],[Hire_Date]]&lt;Data_Model[[#This Row],[Submission_Date]]),1,0)</f>
        <v>0</v>
      </c>
    </row>
    <row r="147" spans="1:18" x14ac:dyDescent="0.25">
      <c r="A147" t="s">
        <v>196</v>
      </c>
      <c r="B147" t="s">
        <v>17</v>
      </c>
      <c r="C147" t="s">
        <v>33</v>
      </c>
      <c r="D147" t="s">
        <v>50</v>
      </c>
      <c r="E147" s="2">
        <v>45660</v>
      </c>
      <c r="F147" t="s">
        <v>35</v>
      </c>
      <c r="G147">
        <v>7</v>
      </c>
      <c r="H147" t="s">
        <v>60</v>
      </c>
      <c r="I14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14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45678</v>
      </c>
      <c r="K147" s="2">
        <f>IFERROR(IF(_xlfn.MINIFS(tblActivities[Activity_Date],tblActivities[Activity_Type],"Hired",tblActivities[Candidate_ID],Data_Model[[#This Row],[Candidate_ID]])=0,"",_xlfn.MINIFS(tblActivities[Activity_Date],tblActivities[Activity_Type],"Hired",tblActivities[Candidate_ID],Data_Model[[#This Row],[Candidate_ID]])),"")</f>
        <v>45675</v>
      </c>
      <c r="L147">
        <f>IF(Data_Model[[#This Row],[Submission_Date]]="",0,1)</f>
        <v>1</v>
      </c>
      <c r="M147">
        <f>IF(Data_Model[[#This Row],[Interview_Date]]="",0,1)</f>
        <v>1</v>
      </c>
      <c r="N147">
        <f>IF(Data_Model[[#This Row],[Hire_Date]]="",0,1)</f>
        <v>1</v>
      </c>
      <c r="O147">
        <f>IF(OR(Data_Model[ [#This Row],[Submission_Date] ]= "",Data_Model[[#This Row],[Resume_Date]] = "",Data_Model[[#This Row],[Submission_Date]] &lt; Data_Model[[#This Row],[Resume_Date]]), "",Data_Model[[#This Row],[Submission_Date]] - Data_Model[[#This Row],[Resume_Date]])</f>
        <v>17</v>
      </c>
      <c r="P147">
        <f>IF(OR(Data_Model[[#This Row],[Submission_Date]]="",Data_Model[[#This Row],[Interview_Date]]="",Data_Model[[#This Row],[Interview_Date]] &lt; Data_Model[[#This Row],[Submission_Date]]),"",Data_Model[[#This Row],[Interview_Date]]-Data_Model[[#This Row],[Submission_Date]])</f>
        <v>1</v>
      </c>
      <c r="Q147" s="4" t="str">
        <f>IF(OR(Data_Model[[#This Row],[Submission_Date]]="",Data_Model[[#This Row],[Hire_Date]]="",Data_Model[[#This Row],[Hire_Date]] &lt; Data_Model[[#This Row],[Submission_Date]]),"",Data_Model[[#This Row],[Hire_Date]]-Data_Model[[#This Row],[Submission_Date]])</f>
        <v/>
      </c>
      <c r="R147" s="4">
        <f>IF(AND(Data_Model[[#This Row],[Submission_Flag]]=1,Data_Model[[#This Row],[Hire_Flag]]=1,Data_Model[[#This Row],[Hire_Date]]&lt;Data_Model[[#This Row],[Submission_Date]]),1,0)</f>
        <v>1</v>
      </c>
    </row>
    <row r="148" spans="1:18" x14ac:dyDescent="0.25">
      <c r="A148" t="s">
        <v>197</v>
      </c>
      <c r="B148" t="s">
        <v>19</v>
      </c>
      <c r="C148" t="s">
        <v>49</v>
      </c>
      <c r="D148" t="s">
        <v>52</v>
      </c>
      <c r="E148" s="2">
        <v>45660</v>
      </c>
      <c r="F148" t="s">
        <v>46</v>
      </c>
      <c r="G148">
        <v>9</v>
      </c>
      <c r="H148" t="s">
        <v>36</v>
      </c>
      <c r="I14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48"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45686</v>
      </c>
      <c r="K148" s="2" t="str">
        <f>IFERROR(IF(_xlfn.MINIFS(tblActivities[Activity_Date],tblActivities[Activity_Type],"Hired",tblActivities[Candidate_ID],Data_Model[[#This Row],[Candidate_ID]])=0,"",_xlfn.MINIFS(tblActivities[Activity_Date],tblActivities[Activity_Type],"Hired",tblActivities[Candidate_ID],Data_Model[[#This Row],[Candidate_ID]])),"")</f>
        <v/>
      </c>
      <c r="L148">
        <f>IF(Data_Model[[#This Row],[Submission_Date]]="",0,1)</f>
        <v>0</v>
      </c>
      <c r="M148">
        <f>IF(Data_Model[[#This Row],[Interview_Date]]="",0,1)</f>
        <v>1</v>
      </c>
      <c r="N148">
        <f>IF(Data_Model[[#This Row],[Hire_Date]]="",0,1)</f>
        <v>0</v>
      </c>
      <c r="O148" t="str">
        <f>IF(OR(Data_Model[ [#This Row],[Submission_Date] ]= "",Data_Model[[#This Row],[Resume_Date]] = "",Data_Model[[#This Row],[Submission_Date]] &lt; Data_Model[[#This Row],[Resume_Date]]), "",Data_Model[[#This Row],[Submission_Date]] - Data_Model[[#This Row],[Resume_Date]])</f>
        <v/>
      </c>
      <c r="P148" t="str">
        <f>IF(OR(Data_Model[[#This Row],[Submission_Date]]="",Data_Model[[#This Row],[Interview_Date]]="",Data_Model[[#This Row],[Interview_Date]] &lt; Data_Model[[#This Row],[Submission_Date]]),"",Data_Model[[#This Row],[Interview_Date]]-Data_Model[[#This Row],[Submission_Date]])</f>
        <v/>
      </c>
      <c r="Q148" s="4" t="str">
        <f>IF(OR(Data_Model[[#This Row],[Submission_Date]]="",Data_Model[[#This Row],[Hire_Date]]="",Data_Model[[#This Row],[Hire_Date]] &lt; Data_Model[[#This Row],[Submission_Date]]),"",Data_Model[[#This Row],[Hire_Date]]-Data_Model[[#This Row],[Submission_Date]])</f>
        <v/>
      </c>
      <c r="R148" s="4">
        <f>IF(AND(Data_Model[[#This Row],[Submission_Flag]]=1,Data_Model[[#This Row],[Hire_Flag]]=1,Data_Model[[#This Row],[Hire_Date]]&lt;Data_Model[[#This Row],[Submission_Date]]),1,0)</f>
        <v>0</v>
      </c>
    </row>
    <row r="149" spans="1:18" x14ac:dyDescent="0.25">
      <c r="A149" t="s">
        <v>198</v>
      </c>
      <c r="B149" t="s">
        <v>20</v>
      </c>
      <c r="C149" t="s">
        <v>45</v>
      </c>
      <c r="D149" t="s">
        <v>42</v>
      </c>
      <c r="E149" s="2">
        <v>45666</v>
      </c>
      <c r="F149" t="s">
        <v>35</v>
      </c>
      <c r="G149">
        <v>7</v>
      </c>
      <c r="H149" t="s">
        <v>60</v>
      </c>
      <c r="I14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14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45680</v>
      </c>
      <c r="K149" s="2" t="str">
        <f>IFERROR(IF(_xlfn.MINIFS(tblActivities[Activity_Date],tblActivities[Activity_Type],"Hired",tblActivities[Candidate_ID],Data_Model[[#This Row],[Candidate_ID]])=0,"",_xlfn.MINIFS(tblActivities[Activity_Date],tblActivities[Activity_Type],"Hired",tblActivities[Candidate_ID],Data_Model[[#This Row],[Candidate_ID]])),"")</f>
        <v/>
      </c>
      <c r="L149">
        <f>IF(Data_Model[[#This Row],[Submission_Date]]="",0,1)</f>
        <v>1</v>
      </c>
      <c r="M149">
        <f>IF(Data_Model[[#This Row],[Interview_Date]]="",0,1)</f>
        <v>1</v>
      </c>
      <c r="N149">
        <f>IF(Data_Model[[#This Row],[Hire_Date]]="",0,1)</f>
        <v>0</v>
      </c>
      <c r="O149">
        <f>IF(OR(Data_Model[ [#This Row],[Submission_Date] ]= "",Data_Model[[#This Row],[Resume_Date]] = "",Data_Model[[#This Row],[Submission_Date]] &lt; Data_Model[[#This Row],[Resume_Date]]), "",Data_Model[[#This Row],[Submission_Date]] - Data_Model[[#This Row],[Resume_Date]])</f>
        <v>11</v>
      </c>
      <c r="P149">
        <f>IF(OR(Data_Model[[#This Row],[Submission_Date]]="",Data_Model[[#This Row],[Interview_Date]]="",Data_Model[[#This Row],[Interview_Date]] &lt; Data_Model[[#This Row],[Submission_Date]]),"",Data_Model[[#This Row],[Interview_Date]]-Data_Model[[#This Row],[Submission_Date]])</f>
        <v>3</v>
      </c>
      <c r="Q149" s="4" t="str">
        <f>IF(OR(Data_Model[[#This Row],[Submission_Date]]="",Data_Model[[#This Row],[Hire_Date]]="",Data_Model[[#This Row],[Hire_Date]] &lt; Data_Model[[#This Row],[Submission_Date]]),"",Data_Model[[#This Row],[Hire_Date]]-Data_Model[[#This Row],[Submission_Date]])</f>
        <v/>
      </c>
      <c r="R149" s="4">
        <f>IF(AND(Data_Model[[#This Row],[Submission_Flag]]=1,Data_Model[[#This Row],[Hire_Flag]]=1,Data_Model[[#This Row],[Hire_Date]]&lt;Data_Model[[#This Row],[Submission_Date]]),1,0)</f>
        <v>0</v>
      </c>
    </row>
    <row r="150" spans="1:18" x14ac:dyDescent="0.25">
      <c r="A150" t="s">
        <v>199</v>
      </c>
      <c r="B150" t="s">
        <v>22</v>
      </c>
      <c r="C150" t="s">
        <v>33</v>
      </c>
      <c r="D150" t="s">
        <v>39</v>
      </c>
      <c r="E150" s="2">
        <v>45676</v>
      </c>
      <c r="F150" t="s">
        <v>64</v>
      </c>
      <c r="G150">
        <v>5</v>
      </c>
      <c r="H150" t="s">
        <v>36</v>
      </c>
      <c r="I15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45670</v>
      </c>
      <c r="J15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0" s="2" t="str">
        <f>IFERROR(IF(_xlfn.MINIFS(tblActivities[Activity_Date],tblActivities[Activity_Type],"Hired",tblActivities[Candidate_ID],Data_Model[[#This Row],[Candidate_ID]])=0,"",_xlfn.MINIFS(tblActivities[Activity_Date],tblActivities[Activity_Type],"Hired",tblActivities[Candidate_ID],Data_Model[[#This Row],[Candidate_ID]])),"")</f>
        <v/>
      </c>
      <c r="L150">
        <f>IF(Data_Model[[#This Row],[Submission_Date]]="",0,1)</f>
        <v>1</v>
      </c>
      <c r="M150">
        <f>IF(Data_Model[[#This Row],[Interview_Date]]="",0,1)</f>
        <v>0</v>
      </c>
      <c r="N150">
        <f>IF(Data_Model[[#This Row],[Hire_Date]]="",0,1)</f>
        <v>0</v>
      </c>
      <c r="O150" t="str">
        <f>IF(OR(Data_Model[ [#This Row],[Submission_Date] ]= "",Data_Model[[#This Row],[Resume_Date]] = "",Data_Model[[#This Row],[Submission_Date]] &lt; Data_Model[[#This Row],[Resume_Date]]), "",Data_Model[[#This Row],[Submission_Date]] - Data_Model[[#This Row],[Resume_Date]])</f>
        <v/>
      </c>
      <c r="P150" t="str">
        <f>IF(OR(Data_Model[[#This Row],[Submission_Date]]="",Data_Model[[#This Row],[Interview_Date]]="",Data_Model[[#This Row],[Interview_Date]] &lt; Data_Model[[#This Row],[Submission_Date]]),"",Data_Model[[#This Row],[Interview_Date]]-Data_Model[[#This Row],[Submission_Date]])</f>
        <v/>
      </c>
      <c r="Q150" s="4" t="str">
        <f>IF(OR(Data_Model[[#This Row],[Submission_Date]]="",Data_Model[[#This Row],[Hire_Date]]="",Data_Model[[#This Row],[Hire_Date]] &lt; Data_Model[[#This Row],[Submission_Date]]),"",Data_Model[[#This Row],[Hire_Date]]-Data_Model[[#This Row],[Submission_Date]])</f>
        <v/>
      </c>
      <c r="R150" s="4">
        <f>IF(AND(Data_Model[[#This Row],[Submission_Flag]]=1,Data_Model[[#This Row],[Hire_Flag]]=1,Data_Model[[#This Row],[Hire_Date]]&lt;Data_Model[[#This Row],[Submission_Date]]),1,0)</f>
        <v>0</v>
      </c>
    </row>
    <row r="151" spans="1:18" x14ac:dyDescent="0.25">
      <c r="A151" t="s">
        <v>200</v>
      </c>
      <c r="B151" t="s">
        <v>20</v>
      </c>
      <c r="C151" t="s">
        <v>38</v>
      </c>
      <c r="D151" t="s">
        <v>50</v>
      </c>
      <c r="E151" s="2">
        <v>45674</v>
      </c>
      <c r="F151" t="s">
        <v>40</v>
      </c>
      <c r="G151">
        <v>6</v>
      </c>
      <c r="H151" t="s">
        <v>47</v>
      </c>
      <c r="I15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45662</v>
      </c>
      <c r="J15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1" s="2" t="str">
        <f>IFERROR(IF(_xlfn.MINIFS(tblActivities[Activity_Date],tblActivities[Activity_Type],"Hired",tblActivities[Candidate_ID],Data_Model[[#This Row],[Candidate_ID]])=0,"",_xlfn.MINIFS(tblActivities[Activity_Date],tblActivities[Activity_Type],"Hired",tblActivities[Candidate_ID],Data_Model[[#This Row],[Candidate_ID]])),"")</f>
        <v/>
      </c>
      <c r="L151">
        <f>IF(Data_Model[[#This Row],[Submission_Date]]="",0,1)</f>
        <v>1</v>
      </c>
      <c r="M151">
        <f>IF(Data_Model[[#This Row],[Interview_Date]]="",0,1)</f>
        <v>0</v>
      </c>
      <c r="N151">
        <f>IF(Data_Model[[#This Row],[Hire_Date]]="",0,1)</f>
        <v>0</v>
      </c>
      <c r="O151" t="str">
        <f>IF(OR(Data_Model[ [#This Row],[Submission_Date] ]= "",Data_Model[[#This Row],[Resume_Date]] = "",Data_Model[[#This Row],[Submission_Date]] &lt; Data_Model[[#This Row],[Resume_Date]]), "",Data_Model[[#This Row],[Submission_Date]] - Data_Model[[#This Row],[Resume_Date]])</f>
        <v/>
      </c>
      <c r="P151" t="str">
        <f>IF(OR(Data_Model[[#This Row],[Submission_Date]]="",Data_Model[[#This Row],[Interview_Date]]="",Data_Model[[#This Row],[Interview_Date]] &lt; Data_Model[[#This Row],[Submission_Date]]),"",Data_Model[[#This Row],[Interview_Date]]-Data_Model[[#This Row],[Submission_Date]])</f>
        <v/>
      </c>
      <c r="Q151" s="4" t="str">
        <f>IF(OR(Data_Model[[#This Row],[Submission_Date]]="",Data_Model[[#This Row],[Hire_Date]]="",Data_Model[[#This Row],[Hire_Date]] &lt; Data_Model[[#This Row],[Submission_Date]]),"",Data_Model[[#This Row],[Hire_Date]]-Data_Model[[#This Row],[Submission_Date]])</f>
        <v/>
      </c>
      <c r="R151" s="4">
        <f>IF(AND(Data_Model[[#This Row],[Submission_Flag]]=1,Data_Model[[#This Row],[Hire_Flag]]=1,Data_Model[[#This Row],[Hire_Date]]&lt;Data_Model[[#This Row],[Submission_Date]]),1,0)</f>
        <v>0</v>
      </c>
    </row>
    <row r="152" spans="1:18" x14ac:dyDescent="0.25">
      <c r="A152" t="s">
        <v>201</v>
      </c>
      <c r="B152" t="s">
        <v>17</v>
      </c>
      <c r="C152" t="s">
        <v>45</v>
      </c>
      <c r="D152" t="s">
        <v>42</v>
      </c>
      <c r="E152" s="2">
        <v>45669</v>
      </c>
      <c r="F152" t="s">
        <v>46</v>
      </c>
      <c r="G152">
        <v>9</v>
      </c>
      <c r="H152" t="s">
        <v>57</v>
      </c>
      <c r="I15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5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2" s="2">
        <f>IFERROR(IF(_xlfn.MINIFS(tblActivities[Activity_Date],tblActivities[Activity_Type],"Hired",tblActivities[Candidate_ID],Data_Model[[#This Row],[Candidate_ID]])=0,"",_xlfn.MINIFS(tblActivities[Activity_Date],tblActivities[Activity_Type],"Hired",tblActivities[Candidate_ID],Data_Model[[#This Row],[Candidate_ID]])),"")</f>
        <v>45683</v>
      </c>
      <c r="L152">
        <f>IF(Data_Model[[#This Row],[Submission_Date]]="",0,1)</f>
        <v>0</v>
      </c>
      <c r="M152">
        <f>IF(Data_Model[[#This Row],[Interview_Date]]="",0,1)</f>
        <v>0</v>
      </c>
      <c r="N152">
        <f>IF(Data_Model[[#This Row],[Hire_Date]]="",0,1)</f>
        <v>1</v>
      </c>
      <c r="O152" t="str">
        <f>IF(OR(Data_Model[ [#This Row],[Submission_Date] ]= "",Data_Model[[#This Row],[Resume_Date]] = "",Data_Model[[#This Row],[Submission_Date]] &lt; Data_Model[[#This Row],[Resume_Date]]), "",Data_Model[[#This Row],[Submission_Date]] - Data_Model[[#This Row],[Resume_Date]])</f>
        <v/>
      </c>
      <c r="P152" t="str">
        <f>IF(OR(Data_Model[[#This Row],[Submission_Date]]="",Data_Model[[#This Row],[Interview_Date]]="",Data_Model[[#This Row],[Interview_Date]] &lt; Data_Model[[#This Row],[Submission_Date]]),"",Data_Model[[#This Row],[Interview_Date]]-Data_Model[[#This Row],[Submission_Date]])</f>
        <v/>
      </c>
      <c r="Q152" s="4" t="str">
        <f>IF(OR(Data_Model[[#This Row],[Submission_Date]]="",Data_Model[[#This Row],[Hire_Date]]="",Data_Model[[#This Row],[Hire_Date]] &lt; Data_Model[[#This Row],[Submission_Date]]),"",Data_Model[[#This Row],[Hire_Date]]-Data_Model[[#This Row],[Submission_Date]])</f>
        <v/>
      </c>
      <c r="R152" s="4">
        <f>IF(AND(Data_Model[[#This Row],[Submission_Flag]]=1,Data_Model[[#This Row],[Hire_Flag]]=1,Data_Model[[#This Row],[Hire_Date]]&lt;Data_Model[[#This Row],[Submission_Date]]),1,0)</f>
        <v>0</v>
      </c>
    </row>
    <row r="153" spans="1:18" x14ac:dyDescent="0.25">
      <c r="A153" t="s">
        <v>202</v>
      </c>
      <c r="B153" t="s">
        <v>17</v>
      </c>
      <c r="C153" t="s">
        <v>38</v>
      </c>
      <c r="D153" t="s">
        <v>50</v>
      </c>
      <c r="E153" s="2">
        <v>45675</v>
      </c>
      <c r="F153" t="s">
        <v>46</v>
      </c>
      <c r="G153">
        <v>6</v>
      </c>
      <c r="H153" t="s">
        <v>36</v>
      </c>
      <c r="I15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5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3" s="2" t="str">
        <f>IFERROR(IF(_xlfn.MINIFS(tblActivities[Activity_Date],tblActivities[Activity_Type],"Hired",tblActivities[Candidate_ID],Data_Model[[#This Row],[Candidate_ID]])=0,"",_xlfn.MINIFS(tblActivities[Activity_Date],tblActivities[Activity_Type],"Hired",tblActivities[Candidate_ID],Data_Model[[#This Row],[Candidate_ID]])),"")</f>
        <v/>
      </c>
      <c r="L153">
        <f>IF(Data_Model[[#This Row],[Submission_Date]]="",0,1)</f>
        <v>0</v>
      </c>
      <c r="M153">
        <f>IF(Data_Model[[#This Row],[Interview_Date]]="",0,1)</f>
        <v>0</v>
      </c>
      <c r="N153">
        <f>IF(Data_Model[[#This Row],[Hire_Date]]="",0,1)</f>
        <v>0</v>
      </c>
      <c r="O153" t="str">
        <f>IF(OR(Data_Model[ [#This Row],[Submission_Date] ]= "",Data_Model[[#This Row],[Resume_Date]] = "",Data_Model[[#This Row],[Submission_Date]] &lt; Data_Model[[#This Row],[Resume_Date]]), "",Data_Model[[#This Row],[Submission_Date]] - Data_Model[[#This Row],[Resume_Date]])</f>
        <v/>
      </c>
      <c r="P153" t="str">
        <f>IF(OR(Data_Model[[#This Row],[Submission_Date]]="",Data_Model[[#This Row],[Interview_Date]]="",Data_Model[[#This Row],[Interview_Date]] &lt; Data_Model[[#This Row],[Submission_Date]]),"",Data_Model[[#This Row],[Interview_Date]]-Data_Model[[#This Row],[Submission_Date]])</f>
        <v/>
      </c>
      <c r="Q153" s="4" t="str">
        <f>IF(OR(Data_Model[[#This Row],[Submission_Date]]="",Data_Model[[#This Row],[Hire_Date]]="",Data_Model[[#This Row],[Hire_Date]] &lt; Data_Model[[#This Row],[Submission_Date]]),"",Data_Model[[#This Row],[Hire_Date]]-Data_Model[[#This Row],[Submission_Date]])</f>
        <v/>
      </c>
      <c r="R153" s="4">
        <f>IF(AND(Data_Model[[#This Row],[Submission_Flag]]=1,Data_Model[[#This Row],[Hire_Flag]]=1,Data_Model[[#This Row],[Hire_Date]]&lt;Data_Model[[#This Row],[Submission_Date]]),1,0)</f>
        <v>0</v>
      </c>
    </row>
    <row r="154" spans="1:18" x14ac:dyDescent="0.25">
      <c r="A154" t="s">
        <v>203</v>
      </c>
      <c r="B154" t="s">
        <v>13</v>
      </c>
      <c r="C154" t="s">
        <v>45</v>
      </c>
      <c r="D154" t="s">
        <v>52</v>
      </c>
      <c r="E154" s="2">
        <v>45660</v>
      </c>
      <c r="F154" t="s">
        <v>64</v>
      </c>
      <c r="G154">
        <v>9</v>
      </c>
      <c r="H154" t="s">
        <v>57</v>
      </c>
      <c r="I15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5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45667</v>
      </c>
      <c r="K154" s="2">
        <f>IFERROR(IF(_xlfn.MINIFS(tblActivities[Activity_Date],tblActivities[Activity_Type],"Hired",tblActivities[Candidate_ID],Data_Model[[#This Row],[Candidate_ID]])=0,"",_xlfn.MINIFS(tblActivities[Activity_Date],tblActivities[Activity_Type],"Hired",tblActivities[Candidate_ID],Data_Model[[#This Row],[Candidate_ID]])),"")</f>
        <v>45672</v>
      </c>
      <c r="L154">
        <f>IF(Data_Model[[#This Row],[Submission_Date]]="",0,1)</f>
        <v>0</v>
      </c>
      <c r="M154">
        <f>IF(Data_Model[[#This Row],[Interview_Date]]="",0,1)</f>
        <v>1</v>
      </c>
      <c r="N154">
        <f>IF(Data_Model[[#This Row],[Hire_Date]]="",0,1)</f>
        <v>1</v>
      </c>
      <c r="O154" t="str">
        <f>IF(OR(Data_Model[ [#This Row],[Submission_Date] ]= "",Data_Model[[#This Row],[Resume_Date]] = "",Data_Model[[#This Row],[Submission_Date]] &lt; Data_Model[[#This Row],[Resume_Date]]), "",Data_Model[[#This Row],[Submission_Date]] - Data_Model[[#This Row],[Resume_Date]])</f>
        <v/>
      </c>
      <c r="P154" t="str">
        <f>IF(OR(Data_Model[[#This Row],[Submission_Date]]="",Data_Model[[#This Row],[Interview_Date]]="",Data_Model[[#This Row],[Interview_Date]] &lt; Data_Model[[#This Row],[Submission_Date]]),"",Data_Model[[#This Row],[Interview_Date]]-Data_Model[[#This Row],[Submission_Date]])</f>
        <v/>
      </c>
      <c r="Q154" s="4" t="str">
        <f>IF(OR(Data_Model[[#This Row],[Submission_Date]]="",Data_Model[[#This Row],[Hire_Date]]="",Data_Model[[#This Row],[Hire_Date]] &lt; Data_Model[[#This Row],[Submission_Date]]),"",Data_Model[[#This Row],[Hire_Date]]-Data_Model[[#This Row],[Submission_Date]])</f>
        <v/>
      </c>
      <c r="R154" s="4">
        <f>IF(AND(Data_Model[[#This Row],[Submission_Flag]]=1,Data_Model[[#This Row],[Hire_Flag]]=1,Data_Model[[#This Row],[Hire_Date]]&lt;Data_Model[[#This Row],[Submission_Date]]),1,0)</f>
        <v>0</v>
      </c>
    </row>
    <row r="155" spans="1:18" x14ac:dyDescent="0.25">
      <c r="A155" t="s">
        <v>204</v>
      </c>
      <c r="B155" t="s">
        <v>6</v>
      </c>
      <c r="C155" t="s">
        <v>38</v>
      </c>
      <c r="D155" t="s">
        <v>42</v>
      </c>
      <c r="E155" s="2">
        <v>45666</v>
      </c>
      <c r="F155" t="s">
        <v>62</v>
      </c>
      <c r="G155">
        <v>1</v>
      </c>
      <c r="H155" t="s">
        <v>60</v>
      </c>
      <c r="I15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5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5" s="2" t="str">
        <f>IFERROR(IF(_xlfn.MINIFS(tblActivities[Activity_Date],tblActivities[Activity_Type],"Hired",tblActivities[Candidate_ID],Data_Model[[#This Row],[Candidate_ID]])=0,"",_xlfn.MINIFS(tblActivities[Activity_Date],tblActivities[Activity_Type],"Hired",tblActivities[Candidate_ID],Data_Model[[#This Row],[Candidate_ID]])),"")</f>
        <v/>
      </c>
      <c r="L155">
        <f>IF(Data_Model[[#This Row],[Submission_Date]]="",0,1)</f>
        <v>0</v>
      </c>
      <c r="M155">
        <f>IF(Data_Model[[#This Row],[Interview_Date]]="",0,1)</f>
        <v>0</v>
      </c>
      <c r="N155">
        <f>IF(Data_Model[[#This Row],[Hire_Date]]="",0,1)</f>
        <v>0</v>
      </c>
      <c r="O155" t="str">
        <f>IF(OR(Data_Model[ [#This Row],[Submission_Date] ]= "",Data_Model[[#This Row],[Resume_Date]] = "",Data_Model[[#This Row],[Submission_Date]] &lt; Data_Model[[#This Row],[Resume_Date]]), "",Data_Model[[#This Row],[Submission_Date]] - Data_Model[[#This Row],[Resume_Date]])</f>
        <v/>
      </c>
      <c r="P155" t="str">
        <f>IF(OR(Data_Model[[#This Row],[Submission_Date]]="",Data_Model[[#This Row],[Interview_Date]]="",Data_Model[[#This Row],[Interview_Date]] &lt; Data_Model[[#This Row],[Submission_Date]]),"",Data_Model[[#This Row],[Interview_Date]]-Data_Model[[#This Row],[Submission_Date]])</f>
        <v/>
      </c>
      <c r="Q155" s="4" t="str">
        <f>IF(OR(Data_Model[[#This Row],[Submission_Date]]="",Data_Model[[#This Row],[Hire_Date]]="",Data_Model[[#This Row],[Hire_Date]] &lt; Data_Model[[#This Row],[Submission_Date]]),"",Data_Model[[#This Row],[Hire_Date]]-Data_Model[[#This Row],[Submission_Date]])</f>
        <v/>
      </c>
      <c r="R155" s="4">
        <f>IF(AND(Data_Model[[#This Row],[Submission_Flag]]=1,Data_Model[[#This Row],[Hire_Flag]]=1,Data_Model[[#This Row],[Hire_Date]]&lt;Data_Model[[#This Row],[Submission_Date]]),1,0)</f>
        <v>0</v>
      </c>
    </row>
    <row r="156" spans="1:18" x14ac:dyDescent="0.25">
      <c r="A156" t="s">
        <v>205</v>
      </c>
      <c r="B156" t="s">
        <v>22</v>
      </c>
      <c r="C156" t="s">
        <v>33</v>
      </c>
      <c r="D156" t="s">
        <v>34</v>
      </c>
      <c r="E156" s="2">
        <v>45671</v>
      </c>
      <c r="F156" t="s">
        <v>40</v>
      </c>
      <c r="G156">
        <v>6</v>
      </c>
      <c r="H156" t="s">
        <v>60</v>
      </c>
      <c r="I15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45675</v>
      </c>
      <c r="J15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6" s="2">
        <f>IFERROR(IF(_xlfn.MINIFS(tblActivities[Activity_Date],tblActivities[Activity_Type],"Hired",tblActivities[Candidate_ID],Data_Model[[#This Row],[Candidate_ID]])=0,"",_xlfn.MINIFS(tblActivities[Activity_Date],tblActivities[Activity_Type],"Hired",tblActivities[Candidate_ID],Data_Model[[#This Row],[Candidate_ID]])),"")</f>
        <v>45673</v>
      </c>
      <c r="L156">
        <f>IF(Data_Model[[#This Row],[Submission_Date]]="",0,1)</f>
        <v>1</v>
      </c>
      <c r="M156">
        <f>IF(Data_Model[[#This Row],[Interview_Date]]="",0,1)</f>
        <v>0</v>
      </c>
      <c r="N156">
        <f>IF(Data_Model[[#This Row],[Hire_Date]]="",0,1)</f>
        <v>1</v>
      </c>
      <c r="O156">
        <f>IF(OR(Data_Model[ [#This Row],[Submission_Date] ]= "",Data_Model[[#This Row],[Resume_Date]] = "",Data_Model[[#This Row],[Submission_Date]] &lt; Data_Model[[#This Row],[Resume_Date]]), "",Data_Model[[#This Row],[Submission_Date]] - Data_Model[[#This Row],[Resume_Date]])</f>
        <v>4</v>
      </c>
      <c r="P156" t="str">
        <f>IF(OR(Data_Model[[#This Row],[Submission_Date]]="",Data_Model[[#This Row],[Interview_Date]]="",Data_Model[[#This Row],[Interview_Date]] &lt; Data_Model[[#This Row],[Submission_Date]]),"",Data_Model[[#This Row],[Interview_Date]]-Data_Model[[#This Row],[Submission_Date]])</f>
        <v/>
      </c>
      <c r="Q156" s="4" t="str">
        <f>IF(OR(Data_Model[[#This Row],[Submission_Date]]="",Data_Model[[#This Row],[Hire_Date]]="",Data_Model[[#This Row],[Hire_Date]] &lt; Data_Model[[#This Row],[Submission_Date]]),"",Data_Model[[#This Row],[Hire_Date]]-Data_Model[[#This Row],[Submission_Date]])</f>
        <v/>
      </c>
      <c r="R156" s="4">
        <f>IF(AND(Data_Model[[#This Row],[Submission_Flag]]=1,Data_Model[[#This Row],[Hire_Flag]]=1,Data_Model[[#This Row],[Hire_Date]]&lt;Data_Model[[#This Row],[Submission_Date]]),1,0)</f>
        <v>1</v>
      </c>
    </row>
    <row r="157" spans="1:18" x14ac:dyDescent="0.25">
      <c r="A157" t="s">
        <v>206</v>
      </c>
      <c r="B157" t="s">
        <v>10</v>
      </c>
      <c r="C157" t="s">
        <v>33</v>
      </c>
      <c r="D157" t="s">
        <v>42</v>
      </c>
      <c r="E157" s="2">
        <v>45660</v>
      </c>
      <c r="F157" t="s">
        <v>43</v>
      </c>
      <c r="G157">
        <v>5</v>
      </c>
      <c r="H157" t="s">
        <v>47</v>
      </c>
      <c r="I15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15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45686</v>
      </c>
      <c r="K157" s="2">
        <f>IFERROR(IF(_xlfn.MINIFS(tblActivities[Activity_Date],tblActivities[Activity_Type],"Hired",tblActivities[Candidate_ID],Data_Model[[#This Row],[Candidate_ID]])=0,"",_xlfn.MINIFS(tblActivities[Activity_Date],tblActivities[Activity_Type],"Hired",tblActivities[Candidate_ID],Data_Model[[#This Row],[Candidate_ID]])),"")</f>
        <v>45687</v>
      </c>
      <c r="L157">
        <f>IF(Data_Model[[#This Row],[Submission_Date]]="",0,1)</f>
        <v>1</v>
      </c>
      <c r="M157">
        <f>IF(Data_Model[[#This Row],[Interview_Date]]="",0,1)</f>
        <v>1</v>
      </c>
      <c r="N157">
        <f>IF(Data_Model[[#This Row],[Hire_Date]]="",0,1)</f>
        <v>1</v>
      </c>
      <c r="O157">
        <f>IF(OR(Data_Model[ [#This Row],[Submission_Date] ]= "",Data_Model[[#This Row],[Resume_Date]] = "",Data_Model[[#This Row],[Submission_Date]] &lt; Data_Model[[#This Row],[Resume_Date]]), "",Data_Model[[#This Row],[Submission_Date]] - Data_Model[[#This Row],[Resume_Date]])</f>
        <v>18</v>
      </c>
      <c r="P157">
        <f>IF(OR(Data_Model[[#This Row],[Submission_Date]]="",Data_Model[[#This Row],[Interview_Date]]="",Data_Model[[#This Row],[Interview_Date]] &lt; Data_Model[[#This Row],[Submission_Date]]),"",Data_Model[[#This Row],[Interview_Date]]-Data_Model[[#This Row],[Submission_Date]])</f>
        <v>8</v>
      </c>
      <c r="Q157" s="4">
        <f>IF(OR(Data_Model[[#This Row],[Submission_Date]]="",Data_Model[[#This Row],[Hire_Date]]="",Data_Model[[#This Row],[Hire_Date]] &lt; Data_Model[[#This Row],[Submission_Date]]),"",Data_Model[[#This Row],[Hire_Date]]-Data_Model[[#This Row],[Submission_Date]])</f>
        <v>9</v>
      </c>
      <c r="R157" s="4">
        <f>IF(AND(Data_Model[[#This Row],[Submission_Flag]]=1,Data_Model[[#This Row],[Hire_Flag]]=1,Data_Model[[#This Row],[Hire_Date]]&lt;Data_Model[[#This Row],[Submission_Date]]),1,0)</f>
        <v>0</v>
      </c>
    </row>
    <row r="158" spans="1:18" x14ac:dyDescent="0.25">
      <c r="A158" t="s">
        <v>207</v>
      </c>
      <c r="B158" t="s">
        <v>17</v>
      </c>
      <c r="C158" t="s">
        <v>49</v>
      </c>
      <c r="D158" t="s">
        <v>34</v>
      </c>
      <c r="E158" s="2">
        <v>45664</v>
      </c>
      <c r="F158" t="s">
        <v>46</v>
      </c>
      <c r="G158">
        <v>7</v>
      </c>
      <c r="H158" t="s">
        <v>36</v>
      </c>
      <c r="I15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5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58" s="2">
        <f>IFERROR(IF(_xlfn.MINIFS(tblActivities[Activity_Date],tblActivities[Activity_Type],"Hired",tblActivities[Candidate_ID],Data_Model[[#This Row],[Candidate_ID]])=0,"",_xlfn.MINIFS(tblActivities[Activity_Date],tblActivities[Activity_Type],"Hired",tblActivities[Candidate_ID],Data_Model[[#This Row],[Candidate_ID]])),"")</f>
        <v>45685</v>
      </c>
      <c r="L158">
        <f>IF(Data_Model[[#This Row],[Submission_Date]]="",0,1)</f>
        <v>0</v>
      </c>
      <c r="M158">
        <f>IF(Data_Model[[#This Row],[Interview_Date]]="",0,1)</f>
        <v>0</v>
      </c>
      <c r="N158">
        <f>IF(Data_Model[[#This Row],[Hire_Date]]="",0,1)</f>
        <v>1</v>
      </c>
      <c r="O158" t="str">
        <f>IF(OR(Data_Model[ [#This Row],[Submission_Date] ]= "",Data_Model[[#This Row],[Resume_Date]] = "",Data_Model[[#This Row],[Submission_Date]] &lt; Data_Model[[#This Row],[Resume_Date]]), "",Data_Model[[#This Row],[Submission_Date]] - Data_Model[[#This Row],[Resume_Date]])</f>
        <v/>
      </c>
      <c r="P158" t="str">
        <f>IF(OR(Data_Model[[#This Row],[Submission_Date]]="",Data_Model[[#This Row],[Interview_Date]]="",Data_Model[[#This Row],[Interview_Date]] &lt; Data_Model[[#This Row],[Submission_Date]]),"",Data_Model[[#This Row],[Interview_Date]]-Data_Model[[#This Row],[Submission_Date]])</f>
        <v/>
      </c>
      <c r="Q158" s="4" t="str">
        <f>IF(OR(Data_Model[[#This Row],[Submission_Date]]="",Data_Model[[#This Row],[Hire_Date]]="",Data_Model[[#This Row],[Hire_Date]] &lt; Data_Model[[#This Row],[Submission_Date]]),"",Data_Model[[#This Row],[Hire_Date]]-Data_Model[[#This Row],[Submission_Date]])</f>
        <v/>
      </c>
      <c r="R158" s="4">
        <f>IF(AND(Data_Model[[#This Row],[Submission_Flag]]=1,Data_Model[[#This Row],[Hire_Flag]]=1,Data_Model[[#This Row],[Hire_Date]]&lt;Data_Model[[#This Row],[Submission_Date]]),1,0)</f>
        <v>0</v>
      </c>
    </row>
    <row r="159" spans="1:18" x14ac:dyDescent="0.25">
      <c r="A159" t="s">
        <v>208</v>
      </c>
      <c r="B159" t="s">
        <v>16</v>
      </c>
      <c r="C159" t="s">
        <v>33</v>
      </c>
      <c r="D159" t="s">
        <v>39</v>
      </c>
      <c r="E159" s="2">
        <v>45670</v>
      </c>
      <c r="F159" t="s">
        <v>62</v>
      </c>
      <c r="G159">
        <v>3</v>
      </c>
      <c r="H159" t="s">
        <v>47</v>
      </c>
      <c r="I15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5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45686</v>
      </c>
      <c r="K159" s="2" t="str">
        <f>IFERROR(IF(_xlfn.MINIFS(tblActivities[Activity_Date],tblActivities[Activity_Type],"Hired",tblActivities[Candidate_ID],Data_Model[[#This Row],[Candidate_ID]])=0,"",_xlfn.MINIFS(tblActivities[Activity_Date],tblActivities[Activity_Type],"Hired",tblActivities[Candidate_ID],Data_Model[[#This Row],[Candidate_ID]])),"")</f>
        <v/>
      </c>
      <c r="L159">
        <f>IF(Data_Model[[#This Row],[Submission_Date]]="",0,1)</f>
        <v>0</v>
      </c>
      <c r="M159">
        <f>IF(Data_Model[[#This Row],[Interview_Date]]="",0,1)</f>
        <v>1</v>
      </c>
      <c r="N159">
        <f>IF(Data_Model[[#This Row],[Hire_Date]]="",0,1)</f>
        <v>0</v>
      </c>
      <c r="O159" t="str">
        <f>IF(OR(Data_Model[ [#This Row],[Submission_Date] ]= "",Data_Model[[#This Row],[Resume_Date]] = "",Data_Model[[#This Row],[Submission_Date]] &lt; Data_Model[[#This Row],[Resume_Date]]), "",Data_Model[[#This Row],[Submission_Date]] - Data_Model[[#This Row],[Resume_Date]])</f>
        <v/>
      </c>
      <c r="P159" t="str">
        <f>IF(OR(Data_Model[[#This Row],[Submission_Date]]="",Data_Model[[#This Row],[Interview_Date]]="",Data_Model[[#This Row],[Interview_Date]] &lt; Data_Model[[#This Row],[Submission_Date]]),"",Data_Model[[#This Row],[Interview_Date]]-Data_Model[[#This Row],[Submission_Date]])</f>
        <v/>
      </c>
      <c r="Q159" s="4" t="str">
        <f>IF(OR(Data_Model[[#This Row],[Submission_Date]]="",Data_Model[[#This Row],[Hire_Date]]="",Data_Model[[#This Row],[Hire_Date]] &lt; Data_Model[[#This Row],[Submission_Date]]),"",Data_Model[[#This Row],[Hire_Date]]-Data_Model[[#This Row],[Submission_Date]])</f>
        <v/>
      </c>
      <c r="R159" s="4">
        <f>IF(AND(Data_Model[[#This Row],[Submission_Flag]]=1,Data_Model[[#This Row],[Hire_Flag]]=1,Data_Model[[#This Row],[Hire_Date]]&lt;Data_Model[[#This Row],[Submission_Date]]),1,0)</f>
        <v>0</v>
      </c>
    </row>
    <row r="160" spans="1:18" x14ac:dyDescent="0.25">
      <c r="A160" t="s">
        <v>209</v>
      </c>
      <c r="B160" t="s">
        <v>13</v>
      </c>
      <c r="C160" t="s">
        <v>49</v>
      </c>
      <c r="D160" t="s">
        <v>39</v>
      </c>
      <c r="E160" s="2">
        <v>45675</v>
      </c>
      <c r="F160" t="s">
        <v>64</v>
      </c>
      <c r="G160">
        <v>1</v>
      </c>
      <c r="H160" t="s">
        <v>36</v>
      </c>
      <c r="I16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6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45679</v>
      </c>
      <c r="K160" s="2" t="str">
        <f>IFERROR(IF(_xlfn.MINIFS(tblActivities[Activity_Date],tblActivities[Activity_Type],"Hired",tblActivities[Candidate_ID],Data_Model[[#This Row],[Candidate_ID]])=0,"",_xlfn.MINIFS(tblActivities[Activity_Date],tblActivities[Activity_Type],"Hired",tblActivities[Candidate_ID],Data_Model[[#This Row],[Candidate_ID]])),"")</f>
        <v/>
      </c>
      <c r="L160">
        <f>IF(Data_Model[[#This Row],[Submission_Date]]="",0,1)</f>
        <v>0</v>
      </c>
      <c r="M160">
        <f>IF(Data_Model[[#This Row],[Interview_Date]]="",0,1)</f>
        <v>1</v>
      </c>
      <c r="N160">
        <f>IF(Data_Model[[#This Row],[Hire_Date]]="",0,1)</f>
        <v>0</v>
      </c>
      <c r="O160" t="str">
        <f>IF(OR(Data_Model[ [#This Row],[Submission_Date] ]= "",Data_Model[[#This Row],[Resume_Date]] = "",Data_Model[[#This Row],[Submission_Date]] &lt; Data_Model[[#This Row],[Resume_Date]]), "",Data_Model[[#This Row],[Submission_Date]] - Data_Model[[#This Row],[Resume_Date]])</f>
        <v/>
      </c>
      <c r="P160" t="str">
        <f>IF(OR(Data_Model[[#This Row],[Submission_Date]]="",Data_Model[[#This Row],[Interview_Date]]="",Data_Model[[#This Row],[Interview_Date]] &lt; Data_Model[[#This Row],[Submission_Date]]),"",Data_Model[[#This Row],[Interview_Date]]-Data_Model[[#This Row],[Submission_Date]])</f>
        <v/>
      </c>
      <c r="Q160" s="4" t="str">
        <f>IF(OR(Data_Model[[#This Row],[Submission_Date]]="",Data_Model[[#This Row],[Hire_Date]]="",Data_Model[[#This Row],[Hire_Date]] &lt; Data_Model[[#This Row],[Submission_Date]]),"",Data_Model[[#This Row],[Hire_Date]]-Data_Model[[#This Row],[Submission_Date]])</f>
        <v/>
      </c>
      <c r="R160" s="4">
        <f>IF(AND(Data_Model[[#This Row],[Submission_Flag]]=1,Data_Model[[#This Row],[Hire_Flag]]=1,Data_Model[[#This Row],[Hire_Date]]&lt;Data_Model[[#This Row],[Submission_Date]]),1,0)</f>
        <v>0</v>
      </c>
    </row>
    <row r="161" spans="1:18" x14ac:dyDescent="0.25">
      <c r="A161" t="s">
        <v>210</v>
      </c>
      <c r="B161" t="s">
        <v>19</v>
      </c>
      <c r="C161" t="s">
        <v>33</v>
      </c>
      <c r="D161" t="s">
        <v>42</v>
      </c>
      <c r="E161" s="2">
        <v>45670</v>
      </c>
      <c r="F161" t="s">
        <v>43</v>
      </c>
      <c r="G161">
        <v>6</v>
      </c>
      <c r="H161" t="s">
        <v>47</v>
      </c>
      <c r="I16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6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61" s="2" t="str">
        <f>IFERROR(IF(_xlfn.MINIFS(tblActivities[Activity_Date],tblActivities[Activity_Type],"Hired",tblActivities[Candidate_ID],Data_Model[[#This Row],[Candidate_ID]])=0,"",_xlfn.MINIFS(tblActivities[Activity_Date],tblActivities[Activity_Type],"Hired",tblActivities[Candidate_ID],Data_Model[[#This Row],[Candidate_ID]])),"")</f>
        <v/>
      </c>
      <c r="L161">
        <f>IF(Data_Model[[#This Row],[Submission_Date]]="",0,1)</f>
        <v>0</v>
      </c>
      <c r="M161">
        <f>IF(Data_Model[[#This Row],[Interview_Date]]="",0,1)</f>
        <v>0</v>
      </c>
      <c r="N161">
        <f>IF(Data_Model[[#This Row],[Hire_Date]]="",0,1)</f>
        <v>0</v>
      </c>
      <c r="O161" t="str">
        <f>IF(OR(Data_Model[ [#This Row],[Submission_Date] ]= "",Data_Model[[#This Row],[Resume_Date]] = "",Data_Model[[#This Row],[Submission_Date]] &lt; Data_Model[[#This Row],[Resume_Date]]), "",Data_Model[[#This Row],[Submission_Date]] - Data_Model[[#This Row],[Resume_Date]])</f>
        <v/>
      </c>
      <c r="P161" t="str">
        <f>IF(OR(Data_Model[[#This Row],[Submission_Date]]="",Data_Model[[#This Row],[Interview_Date]]="",Data_Model[[#This Row],[Interview_Date]] &lt; Data_Model[[#This Row],[Submission_Date]]),"",Data_Model[[#This Row],[Interview_Date]]-Data_Model[[#This Row],[Submission_Date]])</f>
        <v/>
      </c>
      <c r="Q161" s="4" t="str">
        <f>IF(OR(Data_Model[[#This Row],[Submission_Date]]="",Data_Model[[#This Row],[Hire_Date]]="",Data_Model[[#This Row],[Hire_Date]] &lt; Data_Model[[#This Row],[Submission_Date]]),"",Data_Model[[#This Row],[Hire_Date]]-Data_Model[[#This Row],[Submission_Date]])</f>
        <v/>
      </c>
      <c r="R161" s="4">
        <f>IF(AND(Data_Model[[#This Row],[Submission_Flag]]=1,Data_Model[[#This Row],[Hire_Flag]]=1,Data_Model[[#This Row],[Hire_Date]]&lt;Data_Model[[#This Row],[Submission_Date]]),1,0)</f>
        <v>0</v>
      </c>
    </row>
    <row r="162" spans="1:18" x14ac:dyDescent="0.25">
      <c r="A162" t="s">
        <v>211</v>
      </c>
      <c r="B162" t="s">
        <v>20</v>
      </c>
      <c r="C162" t="s">
        <v>33</v>
      </c>
      <c r="D162" t="s">
        <v>34</v>
      </c>
      <c r="E162" s="2">
        <v>45674</v>
      </c>
      <c r="F162" t="s">
        <v>35</v>
      </c>
      <c r="G162">
        <v>8</v>
      </c>
      <c r="H162" t="s">
        <v>36</v>
      </c>
      <c r="I16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162"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45673</v>
      </c>
      <c r="K162" s="2" t="str">
        <f>IFERROR(IF(_xlfn.MINIFS(tblActivities[Activity_Date],tblActivities[Activity_Type],"Hired",tblActivities[Candidate_ID],Data_Model[[#This Row],[Candidate_ID]])=0,"",_xlfn.MINIFS(tblActivities[Activity_Date],tblActivities[Activity_Type],"Hired",tblActivities[Candidate_ID],Data_Model[[#This Row],[Candidate_ID]])),"")</f>
        <v/>
      </c>
      <c r="L162">
        <f>IF(Data_Model[[#This Row],[Submission_Date]]="",0,1)</f>
        <v>1</v>
      </c>
      <c r="M162">
        <f>IF(Data_Model[[#This Row],[Interview_Date]]="",0,1)</f>
        <v>1</v>
      </c>
      <c r="N162">
        <f>IF(Data_Model[[#This Row],[Hire_Date]]="",0,1)</f>
        <v>0</v>
      </c>
      <c r="O162">
        <f>IF(OR(Data_Model[ [#This Row],[Submission_Date] ]= "",Data_Model[[#This Row],[Resume_Date]] = "",Data_Model[[#This Row],[Submission_Date]] &lt; Data_Model[[#This Row],[Resume_Date]]), "",Data_Model[[#This Row],[Submission_Date]] - Data_Model[[#This Row],[Resume_Date]])</f>
        <v>4</v>
      </c>
      <c r="P162" t="str">
        <f>IF(OR(Data_Model[[#This Row],[Submission_Date]]="",Data_Model[[#This Row],[Interview_Date]]="",Data_Model[[#This Row],[Interview_Date]] &lt; Data_Model[[#This Row],[Submission_Date]]),"",Data_Model[[#This Row],[Interview_Date]]-Data_Model[[#This Row],[Submission_Date]])</f>
        <v/>
      </c>
      <c r="Q162" s="4" t="str">
        <f>IF(OR(Data_Model[[#This Row],[Submission_Date]]="",Data_Model[[#This Row],[Hire_Date]]="",Data_Model[[#This Row],[Hire_Date]] &lt; Data_Model[[#This Row],[Submission_Date]]),"",Data_Model[[#This Row],[Hire_Date]]-Data_Model[[#This Row],[Submission_Date]])</f>
        <v/>
      </c>
      <c r="R162" s="4">
        <f>IF(AND(Data_Model[[#This Row],[Submission_Flag]]=1,Data_Model[[#This Row],[Hire_Flag]]=1,Data_Model[[#This Row],[Hire_Date]]&lt;Data_Model[[#This Row],[Submission_Date]]),1,0)</f>
        <v>0</v>
      </c>
    </row>
    <row r="163" spans="1:18" x14ac:dyDescent="0.25">
      <c r="A163" t="s">
        <v>212</v>
      </c>
      <c r="B163" t="s">
        <v>20</v>
      </c>
      <c r="C163" t="s">
        <v>33</v>
      </c>
      <c r="D163" t="s">
        <v>34</v>
      </c>
      <c r="E163" s="2">
        <v>45672</v>
      </c>
      <c r="F163" t="s">
        <v>46</v>
      </c>
      <c r="G163">
        <v>2</v>
      </c>
      <c r="H163" t="s">
        <v>57</v>
      </c>
      <c r="I16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45682</v>
      </c>
      <c r="J16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63" s="2">
        <f>IFERROR(IF(_xlfn.MINIFS(tblActivities[Activity_Date],tblActivities[Activity_Type],"Hired",tblActivities[Candidate_ID],Data_Model[[#This Row],[Candidate_ID]])=0,"",_xlfn.MINIFS(tblActivities[Activity_Date],tblActivities[Activity_Type],"Hired",tblActivities[Candidate_ID],Data_Model[[#This Row],[Candidate_ID]])),"")</f>
        <v>45690</v>
      </c>
      <c r="L163">
        <f>IF(Data_Model[[#This Row],[Submission_Date]]="",0,1)</f>
        <v>1</v>
      </c>
      <c r="M163">
        <f>IF(Data_Model[[#This Row],[Interview_Date]]="",0,1)</f>
        <v>0</v>
      </c>
      <c r="N163">
        <f>IF(Data_Model[[#This Row],[Hire_Date]]="",0,1)</f>
        <v>1</v>
      </c>
      <c r="O163">
        <f>IF(OR(Data_Model[ [#This Row],[Submission_Date] ]= "",Data_Model[[#This Row],[Resume_Date]] = "",Data_Model[[#This Row],[Submission_Date]] &lt; Data_Model[[#This Row],[Resume_Date]]), "",Data_Model[[#This Row],[Submission_Date]] - Data_Model[[#This Row],[Resume_Date]])</f>
        <v>10</v>
      </c>
      <c r="P163" t="str">
        <f>IF(OR(Data_Model[[#This Row],[Submission_Date]]="",Data_Model[[#This Row],[Interview_Date]]="",Data_Model[[#This Row],[Interview_Date]] &lt; Data_Model[[#This Row],[Submission_Date]]),"",Data_Model[[#This Row],[Interview_Date]]-Data_Model[[#This Row],[Submission_Date]])</f>
        <v/>
      </c>
      <c r="Q163" s="4">
        <f>IF(OR(Data_Model[[#This Row],[Submission_Date]]="",Data_Model[[#This Row],[Hire_Date]]="",Data_Model[[#This Row],[Hire_Date]] &lt; Data_Model[[#This Row],[Submission_Date]]),"",Data_Model[[#This Row],[Hire_Date]]-Data_Model[[#This Row],[Submission_Date]])</f>
        <v>8</v>
      </c>
      <c r="R163" s="4">
        <f>IF(AND(Data_Model[[#This Row],[Submission_Flag]]=1,Data_Model[[#This Row],[Hire_Flag]]=1,Data_Model[[#This Row],[Hire_Date]]&lt;Data_Model[[#This Row],[Submission_Date]]),1,0)</f>
        <v>0</v>
      </c>
    </row>
    <row r="164" spans="1:18" x14ac:dyDescent="0.25">
      <c r="A164" t="s">
        <v>213</v>
      </c>
      <c r="B164" t="s">
        <v>13</v>
      </c>
      <c r="C164" t="s">
        <v>38</v>
      </c>
      <c r="D164" t="s">
        <v>50</v>
      </c>
      <c r="E164" s="2">
        <v>45659</v>
      </c>
      <c r="F164" t="s">
        <v>62</v>
      </c>
      <c r="G164">
        <v>4</v>
      </c>
      <c r="H164" t="s">
        <v>60</v>
      </c>
      <c r="I164"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16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45675</v>
      </c>
      <c r="K164" s="2" t="str">
        <f>IFERROR(IF(_xlfn.MINIFS(tblActivities[Activity_Date],tblActivities[Activity_Type],"Hired",tblActivities[Candidate_ID],Data_Model[[#This Row],[Candidate_ID]])=0,"",_xlfn.MINIFS(tblActivities[Activity_Date],tblActivities[Activity_Type],"Hired",tblActivities[Candidate_ID],Data_Model[[#This Row],[Candidate_ID]])),"")</f>
        <v/>
      </c>
      <c r="L164">
        <f>IF(Data_Model[[#This Row],[Submission_Date]]="",0,1)</f>
        <v>1</v>
      </c>
      <c r="M164">
        <f>IF(Data_Model[[#This Row],[Interview_Date]]="",0,1)</f>
        <v>1</v>
      </c>
      <c r="N164">
        <f>IF(Data_Model[[#This Row],[Hire_Date]]="",0,1)</f>
        <v>0</v>
      </c>
      <c r="O164">
        <f>IF(OR(Data_Model[ [#This Row],[Submission_Date] ]= "",Data_Model[[#This Row],[Resume_Date]] = "",Data_Model[[#This Row],[Submission_Date]] &lt; Data_Model[[#This Row],[Resume_Date]]), "",Data_Model[[#This Row],[Submission_Date]] - Data_Model[[#This Row],[Resume_Date]])</f>
        <v>21</v>
      </c>
      <c r="P164" t="str">
        <f>IF(OR(Data_Model[[#This Row],[Submission_Date]]="",Data_Model[[#This Row],[Interview_Date]]="",Data_Model[[#This Row],[Interview_Date]] &lt; Data_Model[[#This Row],[Submission_Date]]),"",Data_Model[[#This Row],[Interview_Date]]-Data_Model[[#This Row],[Submission_Date]])</f>
        <v/>
      </c>
      <c r="Q164" s="4" t="str">
        <f>IF(OR(Data_Model[[#This Row],[Submission_Date]]="",Data_Model[[#This Row],[Hire_Date]]="",Data_Model[[#This Row],[Hire_Date]] &lt; Data_Model[[#This Row],[Submission_Date]]),"",Data_Model[[#This Row],[Hire_Date]]-Data_Model[[#This Row],[Submission_Date]])</f>
        <v/>
      </c>
      <c r="R164" s="4">
        <f>IF(AND(Data_Model[[#This Row],[Submission_Flag]]=1,Data_Model[[#This Row],[Hire_Flag]]=1,Data_Model[[#This Row],[Hire_Date]]&lt;Data_Model[[#This Row],[Submission_Date]]),1,0)</f>
        <v>0</v>
      </c>
    </row>
    <row r="165" spans="1:18" x14ac:dyDescent="0.25">
      <c r="A165" t="s">
        <v>214</v>
      </c>
      <c r="B165" t="s">
        <v>20</v>
      </c>
      <c r="C165" t="s">
        <v>38</v>
      </c>
      <c r="D165" t="s">
        <v>50</v>
      </c>
      <c r="E165" s="2">
        <v>45669</v>
      </c>
      <c r="F165" t="s">
        <v>64</v>
      </c>
      <c r="G165">
        <v>5</v>
      </c>
      <c r="H165" t="s">
        <v>57</v>
      </c>
      <c r="I16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45673</v>
      </c>
      <c r="J16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65" s="2" t="str">
        <f>IFERROR(IF(_xlfn.MINIFS(tblActivities[Activity_Date],tblActivities[Activity_Type],"Hired",tblActivities[Candidate_ID],Data_Model[[#This Row],[Candidate_ID]])=0,"",_xlfn.MINIFS(tblActivities[Activity_Date],tblActivities[Activity_Type],"Hired",tblActivities[Candidate_ID],Data_Model[[#This Row],[Candidate_ID]])),"")</f>
        <v/>
      </c>
      <c r="L165">
        <f>IF(Data_Model[[#This Row],[Submission_Date]]="",0,1)</f>
        <v>1</v>
      </c>
      <c r="M165">
        <f>IF(Data_Model[[#This Row],[Interview_Date]]="",0,1)</f>
        <v>0</v>
      </c>
      <c r="N165">
        <f>IF(Data_Model[[#This Row],[Hire_Date]]="",0,1)</f>
        <v>0</v>
      </c>
      <c r="O165">
        <f>IF(OR(Data_Model[ [#This Row],[Submission_Date] ]= "",Data_Model[[#This Row],[Resume_Date]] = "",Data_Model[[#This Row],[Submission_Date]] &lt; Data_Model[[#This Row],[Resume_Date]]), "",Data_Model[[#This Row],[Submission_Date]] - Data_Model[[#This Row],[Resume_Date]])</f>
        <v>4</v>
      </c>
      <c r="P165" t="str">
        <f>IF(OR(Data_Model[[#This Row],[Submission_Date]]="",Data_Model[[#This Row],[Interview_Date]]="",Data_Model[[#This Row],[Interview_Date]] &lt; Data_Model[[#This Row],[Submission_Date]]),"",Data_Model[[#This Row],[Interview_Date]]-Data_Model[[#This Row],[Submission_Date]])</f>
        <v/>
      </c>
      <c r="Q165" s="4" t="str">
        <f>IF(OR(Data_Model[[#This Row],[Submission_Date]]="",Data_Model[[#This Row],[Hire_Date]]="",Data_Model[[#This Row],[Hire_Date]] &lt; Data_Model[[#This Row],[Submission_Date]]),"",Data_Model[[#This Row],[Hire_Date]]-Data_Model[[#This Row],[Submission_Date]])</f>
        <v/>
      </c>
      <c r="R165" s="4">
        <f>IF(AND(Data_Model[[#This Row],[Submission_Flag]]=1,Data_Model[[#This Row],[Hire_Flag]]=1,Data_Model[[#This Row],[Hire_Date]]&lt;Data_Model[[#This Row],[Submission_Date]]),1,0)</f>
        <v>0</v>
      </c>
    </row>
    <row r="166" spans="1:18" x14ac:dyDescent="0.25">
      <c r="A166" t="s">
        <v>215</v>
      </c>
      <c r="B166" t="s">
        <v>16</v>
      </c>
      <c r="C166" t="s">
        <v>33</v>
      </c>
      <c r="D166" t="s">
        <v>42</v>
      </c>
      <c r="E166" s="2">
        <v>45673</v>
      </c>
      <c r="F166" t="s">
        <v>35</v>
      </c>
      <c r="G166">
        <v>5</v>
      </c>
      <c r="H166" t="s">
        <v>36</v>
      </c>
      <c r="I16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45668</v>
      </c>
      <c r="J16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45662</v>
      </c>
      <c r="K166" s="2" t="str">
        <f>IFERROR(IF(_xlfn.MINIFS(tblActivities[Activity_Date],tblActivities[Activity_Type],"Hired",tblActivities[Candidate_ID],Data_Model[[#This Row],[Candidate_ID]])=0,"",_xlfn.MINIFS(tblActivities[Activity_Date],tblActivities[Activity_Type],"Hired",tblActivities[Candidate_ID],Data_Model[[#This Row],[Candidate_ID]])),"")</f>
        <v/>
      </c>
      <c r="L166">
        <f>IF(Data_Model[[#This Row],[Submission_Date]]="",0,1)</f>
        <v>1</v>
      </c>
      <c r="M166">
        <f>IF(Data_Model[[#This Row],[Interview_Date]]="",0,1)</f>
        <v>1</v>
      </c>
      <c r="N166">
        <f>IF(Data_Model[[#This Row],[Hire_Date]]="",0,1)</f>
        <v>0</v>
      </c>
      <c r="O166" t="str">
        <f>IF(OR(Data_Model[ [#This Row],[Submission_Date] ]= "",Data_Model[[#This Row],[Resume_Date]] = "",Data_Model[[#This Row],[Submission_Date]] &lt; Data_Model[[#This Row],[Resume_Date]]), "",Data_Model[[#This Row],[Submission_Date]] - Data_Model[[#This Row],[Resume_Date]])</f>
        <v/>
      </c>
      <c r="P166" t="str">
        <f>IF(OR(Data_Model[[#This Row],[Submission_Date]]="",Data_Model[[#This Row],[Interview_Date]]="",Data_Model[[#This Row],[Interview_Date]] &lt; Data_Model[[#This Row],[Submission_Date]]),"",Data_Model[[#This Row],[Interview_Date]]-Data_Model[[#This Row],[Submission_Date]])</f>
        <v/>
      </c>
      <c r="Q166" s="4" t="str">
        <f>IF(OR(Data_Model[[#This Row],[Submission_Date]]="",Data_Model[[#This Row],[Hire_Date]]="",Data_Model[[#This Row],[Hire_Date]] &lt; Data_Model[[#This Row],[Submission_Date]]),"",Data_Model[[#This Row],[Hire_Date]]-Data_Model[[#This Row],[Submission_Date]])</f>
        <v/>
      </c>
      <c r="R166" s="4">
        <f>IF(AND(Data_Model[[#This Row],[Submission_Flag]]=1,Data_Model[[#This Row],[Hire_Flag]]=1,Data_Model[[#This Row],[Hire_Date]]&lt;Data_Model[[#This Row],[Submission_Date]]),1,0)</f>
        <v>0</v>
      </c>
    </row>
    <row r="167" spans="1:18" x14ac:dyDescent="0.25">
      <c r="A167" t="s">
        <v>216</v>
      </c>
      <c r="B167" t="s">
        <v>13</v>
      </c>
      <c r="C167" t="s">
        <v>33</v>
      </c>
      <c r="D167" t="s">
        <v>34</v>
      </c>
      <c r="E167" s="2">
        <v>45665</v>
      </c>
      <c r="F167" t="s">
        <v>62</v>
      </c>
      <c r="G167">
        <v>5</v>
      </c>
      <c r="H167" t="s">
        <v>57</v>
      </c>
      <c r="I16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16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45674</v>
      </c>
      <c r="K167" s="2" t="str">
        <f>IFERROR(IF(_xlfn.MINIFS(tblActivities[Activity_Date],tblActivities[Activity_Type],"Hired",tblActivities[Candidate_ID],Data_Model[[#This Row],[Candidate_ID]])=0,"",_xlfn.MINIFS(tblActivities[Activity_Date],tblActivities[Activity_Type],"Hired",tblActivities[Candidate_ID],Data_Model[[#This Row],[Candidate_ID]])),"")</f>
        <v/>
      </c>
      <c r="L167">
        <f>IF(Data_Model[[#This Row],[Submission_Date]]="",0,1)</f>
        <v>1</v>
      </c>
      <c r="M167">
        <f>IF(Data_Model[[#This Row],[Interview_Date]]="",0,1)</f>
        <v>1</v>
      </c>
      <c r="N167">
        <f>IF(Data_Model[[#This Row],[Hire_Date]]="",0,1)</f>
        <v>0</v>
      </c>
      <c r="O167">
        <f>IF(OR(Data_Model[ [#This Row],[Submission_Date] ]= "",Data_Model[[#This Row],[Resume_Date]] = "",Data_Model[[#This Row],[Submission_Date]] &lt; Data_Model[[#This Row],[Resume_Date]]), "",Data_Model[[#This Row],[Submission_Date]] - Data_Model[[#This Row],[Resume_Date]])</f>
        <v>12</v>
      </c>
      <c r="P167" t="str">
        <f>IF(OR(Data_Model[[#This Row],[Submission_Date]]="",Data_Model[[#This Row],[Interview_Date]]="",Data_Model[[#This Row],[Interview_Date]] &lt; Data_Model[[#This Row],[Submission_Date]]),"",Data_Model[[#This Row],[Interview_Date]]-Data_Model[[#This Row],[Submission_Date]])</f>
        <v/>
      </c>
      <c r="Q167" s="4" t="str">
        <f>IF(OR(Data_Model[[#This Row],[Submission_Date]]="",Data_Model[[#This Row],[Hire_Date]]="",Data_Model[[#This Row],[Hire_Date]] &lt; Data_Model[[#This Row],[Submission_Date]]),"",Data_Model[[#This Row],[Hire_Date]]-Data_Model[[#This Row],[Submission_Date]])</f>
        <v/>
      </c>
      <c r="R167" s="4">
        <f>IF(AND(Data_Model[[#This Row],[Submission_Flag]]=1,Data_Model[[#This Row],[Hire_Flag]]=1,Data_Model[[#This Row],[Hire_Date]]&lt;Data_Model[[#This Row],[Submission_Date]]),1,0)</f>
        <v>0</v>
      </c>
    </row>
    <row r="168" spans="1:18" x14ac:dyDescent="0.25">
      <c r="A168" t="s">
        <v>217</v>
      </c>
      <c r="B168" t="s">
        <v>19</v>
      </c>
      <c r="C168" t="s">
        <v>49</v>
      </c>
      <c r="D168" t="s">
        <v>39</v>
      </c>
      <c r="E168" s="2">
        <v>45665</v>
      </c>
      <c r="F168" t="s">
        <v>46</v>
      </c>
      <c r="G168">
        <v>7</v>
      </c>
      <c r="H168" t="s">
        <v>57</v>
      </c>
      <c r="I16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68"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45686</v>
      </c>
      <c r="K168" s="2" t="str">
        <f>IFERROR(IF(_xlfn.MINIFS(tblActivities[Activity_Date],tblActivities[Activity_Type],"Hired",tblActivities[Candidate_ID],Data_Model[[#This Row],[Candidate_ID]])=0,"",_xlfn.MINIFS(tblActivities[Activity_Date],tblActivities[Activity_Type],"Hired",tblActivities[Candidate_ID],Data_Model[[#This Row],[Candidate_ID]])),"")</f>
        <v/>
      </c>
      <c r="L168">
        <f>IF(Data_Model[[#This Row],[Submission_Date]]="",0,1)</f>
        <v>0</v>
      </c>
      <c r="M168">
        <f>IF(Data_Model[[#This Row],[Interview_Date]]="",0,1)</f>
        <v>1</v>
      </c>
      <c r="N168">
        <f>IF(Data_Model[[#This Row],[Hire_Date]]="",0,1)</f>
        <v>0</v>
      </c>
      <c r="O168" t="str">
        <f>IF(OR(Data_Model[ [#This Row],[Submission_Date] ]= "",Data_Model[[#This Row],[Resume_Date]] = "",Data_Model[[#This Row],[Submission_Date]] &lt; Data_Model[[#This Row],[Resume_Date]]), "",Data_Model[[#This Row],[Submission_Date]] - Data_Model[[#This Row],[Resume_Date]])</f>
        <v/>
      </c>
      <c r="P168" t="str">
        <f>IF(OR(Data_Model[[#This Row],[Submission_Date]]="",Data_Model[[#This Row],[Interview_Date]]="",Data_Model[[#This Row],[Interview_Date]] &lt; Data_Model[[#This Row],[Submission_Date]]),"",Data_Model[[#This Row],[Interview_Date]]-Data_Model[[#This Row],[Submission_Date]])</f>
        <v/>
      </c>
      <c r="Q168" s="4" t="str">
        <f>IF(OR(Data_Model[[#This Row],[Submission_Date]]="",Data_Model[[#This Row],[Hire_Date]]="",Data_Model[[#This Row],[Hire_Date]] &lt; Data_Model[[#This Row],[Submission_Date]]),"",Data_Model[[#This Row],[Hire_Date]]-Data_Model[[#This Row],[Submission_Date]])</f>
        <v/>
      </c>
      <c r="R168" s="4">
        <f>IF(AND(Data_Model[[#This Row],[Submission_Flag]]=1,Data_Model[[#This Row],[Hire_Flag]]=1,Data_Model[[#This Row],[Hire_Date]]&lt;Data_Model[[#This Row],[Submission_Date]]),1,0)</f>
        <v>0</v>
      </c>
    </row>
    <row r="169" spans="1:18" x14ac:dyDescent="0.25">
      <c r="A169" t="s">
        <v>218</v>
      </c>
      <c r="B169" t="s">
        <v>17</v>
      </c>
      <c r="C169" t="s">
        <v>45</v>
      </c>
      <c r="D169" t="s">
        <v>52</v>
      </c>
      <c r="E169" s="2">
        <v>45661</v>
      </c>
      <c r="F169" t="s">
        <v>35</v>
      </c>
      <c r="G169">
        <v>6</v>
      </c>
      <c r="H169" t="s">
        <v>57</v>
      </c>
      <c r="I16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45690</v>
      </c>
      <c r="J16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45681</v>
      </c>
      <c r="K169" s="2" t="str">
        <f>IFERROR(IF(_xlfn.MINIFS(tblActivities[Activity_Date],tblActivities[Activity_Type],"Hired",tblActivities[Candidate_ID],Data_Model[[#This Row],[Candidate_ID]])=0,"",_xlfn.MINIFS(tblActivities[Activity_Date],tblActivities[Activity_Type],"Hired",tblActivities[Candidate_ID],Data_Model[[#This Row],[Candidate_ID]])),"")</f>
        <v/>
      </c>
      <c r="L169">
        <f>IF(Data_Model[[#This Row],[Submission_Date]]="",0,1)</f>
        <v>1</v>
      </c>
      <c r="M169">
        <f>IF(Data_Model[[#This Row],[Interview_Date]]="",0,1)</f>
        <v>1</v>
      </c>
      <c r="N169">
        <f>IF(Data_Model[[#This Row],[Hire_Date]]="",0,1)</f>
        <v>0</v>
      </c>
      <c r="O169">
        <f>IF(OR(Data_Model[ [#This Row],[Submission_Date] ]= "",Data_Model[[#This Row],[Resume_Date]] = "",Data_Model[[#This Row],[Submission_Date]] &lt; Data_Model[[#This Row],[Resume_Date]]), "",Data_Model[[#This Row],[Submission_Date]] - Data_Model[[#This Row],[Resume_Date]])</f>
        <v>29</v>
      </c>
      <c r="P169" t="str">
        <f>IF(OR(Data_Model[[#This Row],[Submission_Date]]="",Data_Model[[#This Row],[Interview_Date]]="",Data_Model[[#This Row],[Interview_Date]] &lt; Data_Model[[#This Row],[Submission_Date]]),"",Data_Model[[#This Row],[Interview_Date]]-Data_Model[[#This Row],[Submission_Date]])</f>
        <v/>
      </c>
      <c r="Q169" s="4" t="str">
        <f>IF(OR(Data_Model[[#This Row],[Submission_Date]]="",Data_Model[[#This Row],[Hire_Date]]="",Data_Model[[#This Row],[Hire_Date]] &lt; Data_Model[[#This Row],[Submission_Date]]),"",Data_Model[[#This Row],[Hire_Date]]-Data_Model[[#This Row],[Submission_Date]])</f>
        <v/>
      </c>
      <c r="R169" s="4">
        <f>IF(AND(Data_Model[[#This Row],[Submission_Flag]]=1,Data_Model[[#This Row],[Hire_Flag]]=1,Data_Model[[#This Row],[Hire_Date]]&lt;Data_Model[[#This Row],[Submission_Date]]),1,0)</f>
        <v>0</v>
      </c>
    </row>
    <row r="170" spans="1:18" x14ac:dyDescent="0.25">
      <c r="A170" t="s">
        <v>219</v>
      </c>
      <c r="B170" t="s">
        <v>19</v>
      </c>
      <c r="C170" t="s">
        <v>38</v>
      </c>
      <c r="D170" t="s">
        <v>52</v>
      </c>
      <c r="E170" s="2">
        <v>45663</v>
      </c>
      <c r="F170" t="s">
        <v>46</v>
      </c>
      <c r="G170">
        <v>8</v>
      </c>
      <c r="H170" t="s">
        <v>36</v>
      </c>
      <c r="I17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17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0" s="2" t="str">
        <f>IFERROR(IF(_xlfn.MINIFS(tblActivities[Activity_Date],tblActivities[Activity_Type],"Hired",tblActivities[Candidate_ID],Data_Model[[#This Row],[Candidate_ID]])=0,"",_xlfn.MINIFS(tblActivities[Activity_Date],tblActivities[Activity_Type],"Hired",tblActivities[Candidate_ID],Data_Model[[#This Row],[Candidate_ID]])),"")</f>
        <v/>
      </c>
      <c r="L170">
        <f>IF(Data_Model[[#This Row],[Submission_Date]]="",0,1)</f>
        <v>1</v>
      </c>
      <c r="M170">
        <f>IF(Data_Model[[#This Row],[Interview_Date]]="",0,1)</f>
        <v>0</v>
      </c>
      <c r="N170">
        <f>IF(Data_Model[[#This Row],[Hire_Date]]="",0,1)</f>
        <v>0</v>
      </c>
      <c r="O170">
        <f>IF(OR(Data_Model[ [#This Row],[Submission_Date] ]= "",Data_Model[[#This Row],[Resume_Date]] = "",Data_Model[[#This Row],[Submission_Date]] &lt; Data_Model[[#This Row],[Resume_Date]]), "",Data_Model[[#This Row],[Submission_Date]] - Data_Model[[#This Row],[Resume_Date]])</f>
        <v>17</v>
      </c>
      <c r="P170" t="str">
        <f>IF(OR(Data_Model[[#This Row],[Submission_Date]]="",Data_Model[[#This Row],[Interview_Date]]="",Data_Model[[#This Row],[Interview_Date]] &lt; Data_Model[[#This Row],[Submission_Date]]),"",Data_Model[[#This Row],[Interview_Date]]-Data_Model[[#This Row],[Submission_Date]])</f>
        <v/>
      </c>
      <c r="Q170" s="4" t="str">
        <f>IF(OR(Data_Model[[#This Row],[Submission_Date]]="",Data_Model[[#This Row],[Hire_Date]]="",Data_Model[[#This Row],[Hire_Date]] &lt; Data_Model[[#This Row],[Submission_Date]]),"",Data_Model[[#This Row],[Hire_Date]]-Data_Model[[#This Row],[Submission_Date]])</f>
        <v/>
      </c>
      <c r="R170" s="4">
        <f>IF(AND(Data_Model[[#This Row],[Submission_Flag]]=1,Data_Model[[#This Row],[Hire_Flag]]=1,Data_Model[[#This Row],[Hire_Date]]&lt;Data_Model[[#This Row],[Submission_Date]]),1,0)</f>
        <v>0</v>
      </c>
    </row>
    <row r="171" spans="1:18" x14ac:dyDescent="0.25">
      <c r="A171" t="s">
        <v>220</v>
      </c>
      <c r="B171" t="s">
        <v>16</v>
      </c>
      <c r="C171" t="s">
        <v>38</v>
      </c>
      <c r="D171" t="s">
        <v>52</v>
      </c>
      <c r="E171" s="2">
        <v>45676</v>
      </c>
      <c r="F171" t="s">
        <v>62</v>
      </c>
      <c r="G171">
        <v>6</v>
      </c>
      <c r="H171" t="s">
        <v>36</v>
      </c>
      <c r="I17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71"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1" s="2" t="str">
        <f>IFERROR(IF(_xlfn.MINIFS(tblActivities[Activity_Date],tblActivities[Activity_Type],"Hired",tblActivities[Candidate_ID],Data_Model[[#This Row],[Candidate_ID]])=0,"",_xlfn.MINIFS(tblActivities[Activity_Date],tblActivities[Activity_Type],"Hired",tblActivities[Candidate_ID],Data_Model[[#This Row],[Candidate_ID]])),"")</f>
        <v/>
      </c>
      <c r="L171">
        <f>IF(Data_Model[[#This Row],[Submission_Date]]="",0,1)</f>
        <v>0</v>
      </c>
      <c r="M171">
        <f>IF(Data_Model[[#This Row],[Interview_Date]]="",0,1)</f>
        <v>0</v>
      </c>
      <c r="N171">
        <f>IF(Data_Model[[#This Row],[Hire_Date]]="",0,1)</f>
        <v>0</v>
      </c>
      <c r="O171" t="str">
        <f>IF(OR(Data_Model[ [#This Row],[Submission_Date] ]= "",Data_Model[[#This Row],[Resume_Date]] = "",Data_Model[[#This Row],[Submission_Date]] &lt; Data_Model[[#This Row],[Resume_Date]]), "",Data_Model[[#This Row],[Submission_Date]] - Data_Model[[#This Row],[Resume_Date]])</f>
        <v/>
      </c>
      <c r="P171" t="str">
        <f>IF(OR(Data_Model[[#This Row],[Submission_Date]]="",Data_Model[[#This Row],[Interview_Date]]="",Data_Model[[#This Row],[Interview_Date]] &lt; Data_Model[[#This Row],[Submission_Date]]),"",Data_Model[[#This Row],[Interview_Date]]-Data_Model[[#This Row],[Submission_Date]])</f>
        <v/>
      </c>
      <c r="Q171" s="4" t="str">
        <f>IF(OR(Data_Model[[#This Row],[Submission_Date]]="",Data_Model[[#This Row],[Hire_Date]]="",Data_Model[[#This Row],[Hire_Date]] &lt; Data_Model[[#This Row],[Submission_Date]]),"",Data_Model[[#This Row],[Hire_Date]]-Data_Model[[#This Row],[Submission_Date]])</f>
        <v/>
      </c>
      <c r="R171" s="4">
        <f>IF(AND(Data_Model[[#This Row],[Submission_Flag]]=1,Data_Model[[#This Row],[Hire_Flag]]=1,Data_Model[[#This Row],[Hire_Date]]&lt;Data_Model[[#This Row],[Submission_Date]]),1,0)</f>
        <v>0</v>
      </c>
    </row>
    <row r="172" spans="1:18" x14ac:dyDescent="0.25">
      <c r="A172" t="s">
        <v>221</v>
      </c>
      <c r="B172" t="s">
        <v>19</v>
      </c>
      <c r="C172" t="s">
        <v>33</v>
      </c>
      <c r="D172" t="s">
        <v>39</v>
      </c>
      <c r="E172" s="2">
        <v>45674</v>
      </c>
      <c r="F172" t="s">
        <v>43</v>
      </c>
      <c r="G172">
        <v>7</v>
      </c>
      <c r="H172" t="s">
        <v>47</v>
      </c>
      <c r="I17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45665</v>
      </c>
      <c r="J17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2" s="2">
        <f>IFERROR(IF(_xlfn.MINIFS(tblActivities[Activity_Date],tblActivities[Activity_Type],"Hired",tblActivities[Candidate_ID],Data_Model[[#This Row],[Candidate_ID]])=0,"",_xlfn.MINIFS(tblActivities[Activity_Date],tblActivities[Activity_Type],"Hired",tblActivities[Candidate_ID],Data_Model[[#This Row],[Candidate_ID]])),"")</f>
        <v>45669</v>
      </c>
      <c r="L172">
        <f>IF(Data_Model[[#This Row],[Submission_Date]]="",0,1)</f>
        <v>1</v>
      </c>
      <c r="M172">
        <f>IF(Data_Model[[#This Row],[Interview_Date]]="",0,1)</f>
        <v>0</v>
      </c>
      <c r="N172">
        <f>IF(Data_Model[[#This Row],[Hire_Date]]="",0,1)</f>
        <v>1</v>
      </c>
      <c r="O172" t="str">
        <f>IF(OR(Data_Model[ [#This Row],[Submission_Date] ]= "",Data_Model[[#This Row],[Resume_Date]] = "",Data_Model[[#This Row],[Submission_Date]] &lt; Data_Model[[#This Row],[Resume_Date]]), "",Data_Model[[#This Row],[Submission_Date]] - Data_Model[[#This Row],[Resume_Date]])</f>
        <v/>
      </c>
      <c r="P172" t="str">
        <f>IF(OR(Data_Model[[#This Row],[Submission_Date]]="",Data_Model[[#This Row],[Interview_Date]]="",Data_Model[[#This Row],[Interview_Date]] &lt; Data_Model[[#This Row],[Submission_Date]]),"",Data_Model[[#This Row],[Interview_Date]]-Data_Model[[#This Row],[Submission_Date]])</f>
        <v/>
      </c>
      <c r="Q172" s="4">
        <f>IF(OR(Data_Model[[#This Row],[Submission_Date]]="",Data_Model[[#This Row],[Hire_Date]]="",Data_Model[[#This Row],[Hire_Date]] &lt; Data_Model[[#This Row],[Submission_Date]]),"",Data_Model[[#This Row],[Hire_Date]]-Data_Model[[#This Row],[Submission_Date]])</f>
        <v>4</v>
      </c>
      <c r="R172" s="4">
        <f>IF(AND(Data_Model[[#This Row],[Submission_Flag]]=1,Data_Model[[#This Row],[Hire_Flag]]=1,Data_Model[[#This Row],[Hire_Date]]&lt;Data_Model[[#This Row],[Submission_Date]]),1,0)</f>
        <v>0</v>
      </c>
    </row>
    <row r="173" spans="1:18" x14ac:dyDescent="0.25">
      <c r="A173" t="s">
        <v>222</v>
      </c>
      <c r="B173" t="s">
        <v>13</v>
      </c>
      <c r="C173" t="s">
        <v>38</v>
      </c>
      <c r="D173" t="s">
        <v>50</v>
      </c>
      <c r="E173" s="2">
        <v>45672</v>
      </c>
      <c r="F173" t="s">
        <v>46</v>
      </c>
      <c r="G173">
        <v>3</v>
      </c>
      <c r="H173" t="s">
        <v>60</v>
      </c>
      <c r="I173"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73"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3" s="2" t="str">
        <f>IFERROR(IF(_xlfn.MINIFS(tblActivities[Activity_Date],tblActivities[Activity_Type],"Hired",tblActivities[Candidate_ID],Data_Model[[#This Row],[Candidate_ID]])=0,"",_xlfn.MINIFS(tblActivities[Activity_Date],tblActivities[Activity_Type],"Hired",tblActivities[Candidate_ID],Data_Model[[#This Row],[Candidate_ID]])),"")</f>
        <v/>
      </c>
      <c r="L173">
        <f>IF(Data_Model[[#This Row],[Submission_Date]]="",0,1)</f>
        <v>0</v>
      </c>
      <c r="M173">
        <f>IF(Data_Model[[#This Row],[Interview_Date]]="",0,1)</f>
        <v>0</v>
      </c>
      <c r="N173">
        <f>IF(Data_Model[[#This Row],[Hire_Date]]="",0,1)</f>
        <v>0</v>
      </c>
      <c r="O173" t="str">
        <f>IF(OR(Data_Model[ [#This Row],[Submission_Date] ]= "",Data_Model[[#This Row],[Resume_Date]] = "",Data_Model[[#This Row],[Submission_Date]] &lt; Data_Model[[#This Row],[Resume_Date]]), "",Data_Model[[#This Row],[Submission_Date]] - Data_Model[[#This Row],[Resume_Date]])</f>
        <v/>
      </c>
      <c r="P173" t="str">
        <f>IF(OR(Data_Model[[#This Row],[Submission_Date]]="",Data_Model[[#This Row],[Interview_Date]]="",Data_Model[[#This Row],[Interview_Date]] &lt; Data_Model[[#This Row],[Submission_Date]]),"",Data_Model[[#This Row],[Interview_Date]]-Data_Model[[#This Row],[Submission_Date]])</f>
        <v/>
      </c>
      <c r="Q173" s="4" t="str">
        <f>IF(OR(Data_Model[[#This Row],[Submission_Date]]="",Data_Model[[#This Row],[Hire_Date]]="",Data_Model[[#This Row],[Hire_Date]] &lt; Data_Model[[#This Row],[Submission_Date]]),"",Data_Model[[#This Row],[Hire_Date]]-Data_Model[[#This Row],[Submission_Date]])</f>
        <v/>
      </c>
      <c r="R173" s="4">
        <f>IF(AND(Data_Model[[#This Row],[Submission_Flag]]=1,Data_Model[[#This Row],[Hire_Flag]]=1,Data_Model[[#This Row],[Hire_Date]]&lt;Data_Model[[#This Row],[Submission_Date]]),1,0)</f>
        <v>0</v>
      </c>
    </row>
    <row r="174" spans="1:18" x14ac:dyDescent="0.25">
      <c r="A174" t="s">
        <v>223</v>
      </c>
      <c r="B174" t="s">
        <v>13</v>
      </c>
      <c r="C174" t="s">
        <v>45</v>
      </c>
      <c r="D174" t="s">
        <v>34</v>
      </c>
      <c r="E174" s="2">
        <v>45661</v>
      </c>
      <c r="F174" t="s">
        <v>46</v>
      </c>
      <c r="G174">
        <v>8</v>
      </c>
      <c r="H174" t="s">
        <v>36</v>
      </c>
      <c r="I17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74"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4" s="2" t="str">
        <f>IFERROR(IF(_xlfn.MINIFS(tblActivities[Activity_Date],tblActivities[Activity_Type],"Hired",tblActivities[Candidate_ID],Data_Model[[#This Row],[Candidate_ID]])=0,"",_xlfn.MINIFS(tblActivities[Activity_Date],tblActivities[Activity_Type],"Hired",tblActivities[Candidate_ID],Data_Model[[#This Row],[Candidate_ID]])),"")</f>
        <v/>
      </c>
      <c r="L174">
        <f>IF(Data_Model[[#This Row],[Submission_Date]]="",0,1)</f>
        <v>0</v>
      </c>
      <c r="M174">
        <f>IF(Data_Model[[#This Row],[Interview_Date]]="",0,1)</f>
        <v>0</v>
      </c>
      <c r="N174">
        <f>IF(Data_Model[[#This Row],[Hire_Date]]="",0,1)</f>
        <v>0</v>
      </c>
      <c r="O174" t="str">
        <f>IF(OR(Data_Model[ [#This Row],[Submission_Date] ]= "",Data_Model[[#This Row],[Resume_Date]] = "",Data_Model[[#This Row],[Submission_Date]] &lt; Data_Model[[#This Row],[Resume_Date]]), "",Data_Model[[#This Row],[Submission_Date]] - Data_Model[[#This Row],[Resume_Date]])</f>
        <v/>
      </c>
      <c r="P174" t="str">
        <f>IF(OR(Data_Model[[#This Row],[Submission_Date]]="",Data_Model[[#This Row],[Interview_Date]]="",Data_Model[[#This Row],[Interview_Date]] &lt; Data_Model[[#This Row],[Submission_Date]]),"",Data_Model[[#This Row],[Interview_Date]]-Data_Model[[#This Row],[Submission_Date]])</f>
        <v/>
      </c>
      <c r="Q174" s="4" t="str">
        <f>IF(OR(Data_Model[[#This Row],[Submission_Date]]="",Data_Model[[#This Row],[Hire_Date]]="",Data_Model[[#This Row],[Hire_Date]] &lt; Data_Model[[#This Row],[Submission_Date]]),"",Data_Model[[#This Row],[Hire_Date]]-Data_Model[[#This Row],[Submission_Date]])</f>
        <v/>
      </c>
      <c r="R174" s="4">
        <f>IF(AND(Data_Model[[#This Row],[Submission_Flag]]=1,Data_Model[[#This Row],[Hire_Flag]]=1,Data_Model[[#This Row],[Hire_Date]]&lt;Data_Model[[#This Row],[Submission_Date]]),1,0)</f>
        <v>0</v>
      </c>
    </row>
    <row r="175" spans="1:18" x14ac:dyDescent="0.25">
      <c r="A175" t="s">
        <v>224</v>
      </c>
      <c r="B175" t="s">
        <v>16</v>
      </c>
      <c r="C175" t="s">
        <v>33</v>
      </c>
      <c r="D175" t="s">
        <v>52</v>
      </c>
      <c r="E175" s="2">
        <v>45662</v>
      </c>
      <c r="F175" t="s">
        <v>64</v>
      </c>
      <c r="G175">
        <v>8</v>
      </c>
      <c r="H175" t="s">
        <v>47</v>
      </c>
      <c r="I17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75"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5" s="2" t="str">
        <f>IFERROR(IF(_xlfn.MINIFS(tblActivities[Activity_Date],tblActivities[Activity_Type],"Hired",tblActivities[Candidate_ID],Data_Model[[#This Row],[Candidate_ID]])=0,"",_xlfn.MINIFS(tblActivities[Activity_Date],tblActivities[Activity_Type],"Hired",tblActivities[Candidate_ID],Data_Model[[#This Row],[Candidate_ID]])),"")</f>
        <v/>
      </c>
      <c r="L175">
        <f>IF(Data_Model[[#This Row],[Submission_Date]]="",0,1)</f>
        <v>0</v>
      </c>
      <c r="M175">
        <f>IF(Data_Model[[#This Row],[Interview_Date]]="",0,1)</f>
        <v>0</v>
      </c>
      <c r="N175">
        <f>IF(Data_Model[[#This Row],[Hire_Date]]="",0,1)</f>
        <v>0</v>
      </c>
      <c r="O175" t="str">
        <f>IF(OR(Data_Model[ [#This Row],[Submission_Date] ]= "",Data_Model[[#This Row],[Resume_Date]] = "",Data_Model[[#This Row],[Submission_Date]] &lt; Data_Model[[#This Row],[Resume_Date]]), "",Data_Model[[#This Row],[Submission_Date]] - Data_Model[[#This Row],[Resume_Date]])</f>
        <v/>
      </c>
      <c r="P175" t="str">
        <f>IF(OR(Data_Model[[#This Row],[Submission_Date]]="",Data_Model[[#This Row],[Interview_Date]]="",Data_Model[[#This Row],[Interview_Date]] &lt; Data_Model[[#This Row],[Submission_Date]]),"",Data_Model[[#This Row],[Interview_Date]]-Data_Model[[#This Row],[Submission_Date]])</f>
        <v/>
      </c>
      <c r="Q175" s="4" t="str">
        <f>IF(OR(Data_Model[[#This Row],[Submission_Date]]="",Data_Model[[#This Row],[Hire_Date]]="",Data_Model[[#This Row],[Hire_Date]] &lt; Data_Model[[#This Row],[Submission_Date]]),"",Data_Model[[#This Row],[Hire_Date]]-Data_Model[[#This Row],[Submission_Date]])</f>
        <v/>
      </c>
      <c r="R175" s="4">
        <f>IF(AND(Data_Model[[#This Row],[Submission_Flag]]=1,Data_Model[[#This Row],[Hire_Flag]]=1,Data_Model[[#This Row],[Hire_Date]]&lt;Data_Model[[#This Row],[Submission_Date]]),1,0)</f>
        <v>0</v>
      </c>
    </row>
    <row r="176" spans="1:18" x14ac:dyDescent="0.25">
      <c r="A176" t="s">
        <v>225</v>
      </c>
      <c r="B176" t="s">
        <v>24</v>
      </c>
      <c r="C176" t="s">
        <v>33</v>
      </c>
      <c r="D176" t="s">
        <v>50</v>
      </c>
      <c r="E176" s="2">
        <v>45660</v>
      </c>
      <c r="F176" t="s">
        <v>40</v>
      </c>
      <c r="G176">
        <v>8</v>
      </c>
      <c r="H176" t="s">
        <v>36</v>
      </c>
      <c r="I17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45679</v>
      </c>
      <c r="J17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6" s="2" t="str">
        <f>IFERROR(IF(_xlfn.MINIFS(tblActivities[Activity_Date],tblActivities[Activity_Type],"Hired",tblActivities[Candidate_ID],Data_Model[[#This Row],[Candidate_ID]])=0,"",_xlfn.MINIFS(tblActivities[Activity_Date],tblActivities[Activity_Type],"Hired",tblActivities[Candidate_ID],Data_Model[[#This Row],[Candidate_ID]])),"")</f>
        <v/>
      </c>
      <c r="L176">
        <f>IF(Data_Model[[#This Row],[Submission_Date]]="",0,1)</f>
        <v>1</v>
      </c>
      <c r="M176">
        <f>IF(Data_Model[[#This Row],[Interview_Date]]="",0,1)</f>
        <v>0</v>
      </c>
      <c r="N176">
        <f>IF(Data_Model[[#This Row],[Hire_Date]]="",0,1)</f>
        <v>0</v>
      </c>
      <c r="O176">
        <f>IF(OR(Data_Model[ [#This Row],[Submission_Date] ]= "",Data_Model[[#This Row],[Resume_Date]] = "",Data_Model[[#This Row],[Submission_Date]] &lt; Data_Model[[#This Row],[Resume_Date]]), "",Data_Model[[#This Row],[Submission_Date]] - Data_Model[[#This Row],[Resume_Date]])</f>
        <v>19</v>
      </c>
      <c r="P176" t="str">
        <f>IF(OR(Data_Model[[#This Row],[Submission_Date]]="",Data_Model[[#This Row],[Interview_Date]]="",Data_Model[[#This Row],[Interview_Date]] &lt; Data_Model[[#This Row],[Submission_Date]]),"",Data_Model[[#This Row],[Interview_Date]]-Data_Model[[#This Row],[Submission_Date]])</f>
        <v/>
      </c>
      <c r="Q176" s="4" t="str">
        <f>IF(OR(Data_Model[[#This Row],[Submission_Date]]="",Data_Model[[#This Row],[Hire_Date]]="",Data_Model[[#This Row],[Hire_Date]] &lt; Data_Model[[#This Row],[Submission_Date]]),"",Data_Model[[#This Row],[Hire_Date]]-Data_Model[[#This Row],[Submission_Date]])</f>
        <v/>
      </c>
      <c r="R176" s="4">
        <f>IF(AND(Data_Model[[#This Row],[Submission_Flag]]=1,Data_Model[[#This Row],[Hire_Flag]]=1,Data_Model[[#This Row],[Hire_Date]]&lt;Data_Model[[#This Row],[Submission_Date]]),1,0)</f>
        <v>0</v>
      </c>
    </row>
    <row r="177" spans="1:18" x14ac:dyDescent="0.25">
      <c r="A177" t="s">
        <v>226</v>
      </c>
      <c r="B177" t="s">
        <v>10</v>
      </c>
      <c r="C177" t="s">
        <v>38</v>
      </c>
      <c r="D177" t="s">
        <v>39</v>
      </c>
      <c r="E177" s="2">
        <v>45661</v>
      </c>
      <c r="F177" t="s">
        <v>35</v>
      </c>
      <c r="G177">
        <v>5</v>
      </c>
      <c r="H177" t="s">
        <v>60</v>
      </c>
      <c r="I177"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77"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45665</v>
      </c>
      <c r="K177" s="2">
        <f>IFERROR(IF(_xlfn.MINIFS(tblActivities[Activity_Date],tblActivities[Activity_Type],"Hired",tblActivities[Candidate_ID],Data_Model[[#This Row],[Candidate_ID]])=0,"",_xlfn.MINIFS(tblActivities[Activity_Date],tblActivities[Activity_Type],"Hired",tblActivities[Candidate_ID],Data_Model[[#This Row],[Candidate_ID]])),"")</f>
        <v>45668</v>
      </c>
      <c r="L177">
        <f>IF(Data_Model[[#This Row],[Submission_Date]]="",0,1)</f>
        <v>0</v>
      </c>
      <c r="M177">
        <f>IF(Data_Model[[#This Row],[Interview_Date]]="",0,1)</f>
        <v>1</v>
      </c>
      <c r="N177">
        <f>IF(Data_Model[[#This Row],[Hire_Date]]="",0,1)</f>
        <v>1</v>
      </c>
      <c r="O177" t="str">
        <f>IF(OR(Data_Model[ [#This Row],[Submission_Date] ]= "",Data_Model[[#This Row],[Resume_Date]] = "",Data_Model[[#This Row],[Submission_Date]] &lt; Data_Model[[#This Row],[Resume_Date]]), "",Data_Model[[#This Row],[Submission_Date]] - Data_Model[[#This Row],[Resume_Date]])</f>
        <v/>
      </c>
      <c r="P177" t="str">
        <f>IF(OR(Data_Model[[#This Row],[Submission_Date]]="",Data_Model[[#This Row],[Interview_Date]]="",Data_Model[[#This Row],[Interview_Date]] &lt; Data_Model[[#This Row],[Submission_Date]]),"",Data_Model[[#This Row],[Interview_Date]]-Data_Model[[#This Row],[Submission_Date]])</f>
        <v/>
      </c>
      <c r="Q177" s="4" t="str">
        <f>IF(OR(Data_Model[[#This Row],[Submission_Date]]="",Data_Model[[#This Row],[Hire_Date]]="",Data_Model[[#This Row],[Hire_Date]] &lt; Data_Model[[#This Row],[Submission_Date]]),"",Data_Model[[#This Row],[Hire_Date]]-Data_Model[[#This Row],[Submission_Date]])</f>
        <v/>
      </c>
      <c r="R177" s="4">
        <f>IF(AND(Data_Model[[#This Row],[Submission_Flag]]=1,Data_Model[[#This Row],[Hire_Flag]]=1,Data_Model[[#This Row],[Hire_Date]]&lt;Data_Model[[#This Row],[Submission_Date]]),1,0)</f>
        <v>0</v>
      </c>
    </row>
    <row r="178" spans="1:18" x14ac:dyDescent="0.25">
      <c r="A178" t="s">
        <v>227</v>
      </c>
      <c r="B178" t="s">
        <v>22</v>
      </c>
      <c r="C178" t="s">
        <v>45</v>
      </c>
      <c r="D178" t="s">
        <v>34</v>
      </c>
      <c r="E178" s="2">
        <v>45671</v>
      </c>
      <c r="F178" t="s">
        <v>43</v>
      </c>
      <c r="G178">
        <v>9</v>
      </c>
      <c r="H178" t="s">
        <v>47</v>
      </c>
      <c r="I17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7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8" s="2" t="str">
        <f>IFERROR(IF(_xlfn.MINIFS(tblActivities[Activity_Date],tblActivities[Activity_Type],"Hired",tblActivities[Candidate_ID],Data_Model[[#This Row],[Candidate_ID]])=0,"",_xlfn.MINIFS(tblActivities[Activity_Date],tblActivities[Activity_Type],"Hired",tblActivities[Candidate_ID],Data_Model[[#This Row],[Candidate_ID]])),"")</f>
        <v/>
      </c>
      <c r="L178">
        <f>IF(Data_Model[[#This Row],[Submission_Date]]="",0,1)</f>
        <v>0</v>
      </c>
      <c r="M178">
        <f>IF(Data_Model[[#This Row],[Interview_Date]]="",0,1)</f>
        <v>0</v>
      </c>
      <c r="N178">
        <f>IF(Data_Model[[#This Row],[Hire_Date]]="",0,1)</f>
        <v>0</v>
      </c>
      <c r="O178" t="str">
        <f>IF(OR(Data_Model[ [#This Row],[Submission_Date] ]= "",Data_Model[[#This Row],[Resume_Date]] = "",Data_Model[[#This Row],[Submission_Date]] &lt; Data_Model[[#This Row],[Resume_Date]]), "",Data_Model[[#This Row],[Submission_Date]] - Data_Model[[#This Row],[Resume_Date]])</f>
        <v/>
      </c>
      <c r="P178" t="str">
        <f>IF(OR(Data_Model[[#This Row],[Submission_Date]]="",Data_Model[[#This Row],[Interview_Date]]="",Data_Model[[#This Row],[Interview_Date]] &lt; Data_Model[[#This Row],[Submission_Date]]),"",Data_Model[[#This Row],[Interview_Date]]-Data_Model[[#This Row],[Submission_Date]])</f>
        <v/>
      </c>
      <c r="Q178" s="4" t="str">
        <f>IF(OR(Data_Model[[#This Row],[Submission_Date]]="",Data_Model[[#This Row],[Hire_Date]]="",Data_Model[[#This Row],[Hire_Date]] &lt; Data_Model[[#This Row],[Submission_Date]]),"",Data_Model[[#This Row],[Hire_Date]]-Data_Model[[#This Row],[Submission_Date]])</f>
        <v/>
      </c>
      <c r="R178" s="4">
        <f>IF(AND(Data_Model[[#This Row],[Submission_Flag]]=1,Data_Model[[#This Row],[Hire_Flag]]=1,Data_Model[[#This Row],[Hire_Date]]&lt;Data_Model[[#This Row],[Submission_Date]]),1,0)</f>
        <v>0</v>
      </c>
    </row>
    <row r="179" spans="1:18" x14ac:dyDescent="0.25">
      <c r="A179" t="s">
        <v>228</v>
      </c>
      <c r="B179" t="s">
        <v>16</v>
      </c>
      <c r="C179" t="s">
        <v>45</v>
      </c>
      <c r="D179" t="s">
        <v>39</v>
      </c>
      <c r="E179" s="2">
        <v>45674</v>
      </c>
      <c r="F179" t="s">
        <v>43</v>
      </c>
      <c r="G179">
        <v>6</v>
      </c>
      <c r="H179" t="s">
        <v>57</v>
      </c>
      <c r="I17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79"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79" s="2">
        <f>IFERROR(IF(_xlfn.MINIFS(tblActivities[Activity_Date],tblActivities[Activity_Type],"Hired",tblActivities[Candidate_ID],Data_Model[[#This Row],[Candidate_ID]])=0,"",_xlfn.MINIFS(tblActivities[Activity_Date],tblActivities[Activity_Type],"Hired",tblActivities[Candidate_ID],Data_Model[[#This Row],[Candidate_ID]])),"")</f>
        <v>45675</v>
      </c>
      <c r="L179">
        <f>IF(Data_Model[[#This Row],[Submission_Date]]="",0,1)</f>
        <v>0</v>
      </c>
      <c r="M179">
        <f>IF(Data_Model[[#This Row],[Interview_Date]]="",0,1)</f>
        <v>0</v>
      </c>
      <c r="N179">
        <f>IF(Data_Model[[#This Row],[Hire_Date]]="",0,1)</f>
        <v>1</v>
      </c>
      <c r="O179" t="str">
        <f>IF(OR(Data_Model[ [#This Row],[Submission_Date] ]= "",Data_Model[[#This Row],[Resume_Date]] = "",Data_Model[[#This Row],[Submission_Date]] &lt; Data_Model[[#This Row],[Resume_Date]]), "",Data_Model[[#This Row],[Submission_Date]] - Data_Model[[#This Row],[Resume_Date]])</f>
        <v/>
      </c>
      <c r="P179" t="str">
        <f>IF(OR(Data_Model[[#This Row],[Submission_Date]]="",Data_Model[[#This Row],[Interview_Date]]="",Data_Model[[#This Row],[Interview_Date]] &lt; Data_Model[[#This Row],[Submission_Date]]),"",Data_Model[[#This Row],[Interview_Date]]-Data_Model[[#This Row],[Submission_Date]])</f>
        <v/>
      </c>
      <c r="Q179" s="4" t="str">
        <f>IF(OR(Data_Model[[#This Row],[Submission_Date]]="",Data_Model[[#This Row],[Hire_Date]]="",Data_Model[[#This Row],[Hire_Date]] &lt; Data_Model[[#This Row],[Submission_Date]]),"",Data_Model[[#This Row],[Hire_Date]]-Data_Model[[#This Row],[Submission_Date]])</f>
        <v/>
      </c>
      <c r="R179" s="4">
        <f>IF(AND(Data_Model[[#This Row],[Submission_Flag]]=1,Data_Model[[#This Row],[Hire_Flag]]=1,Data_Model[[#This Row],[Hire_Date]]&lt;Data_Model[[#This Row],[Submission_Date]]),1,0)</f>
        <v>0</v>
      </c>
    </row>
    <row r="180" spans="1:18" x14ac:dyDescent="0.25">
      <c r="A180" t="s">
        <v>229</v>
      </c>
      <c r="B180" t="s">
        <v>23</v>
      </c>
      <c r="C180" t="s">
        <v>38</v>
      </c>
      <c r="D180" t="s">
        <v>52</v>
      </c>
      <c r="E180" s="2">
        <v>45664</v>
      </c>
      <c r="F180" t="s">
        <v>43</v>
      </c>
      <c r="G180">
        <v>3</v>
      </c>
      <c r="H180" t="s">
        <v>60</v>
      </c>
      <c r="I18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45674</v>
      </c>
      <c r="J180"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45677</v>
      </c>
      <c r="K180" s="2" t="str">
        <f>IFERROR(IF(_xlfn.MINIFS(tblActivities[Activity_Date],tblActivities[Activity_Type],"Hired",tblActivities[Candidate_ID],Data_Model[[#This Row],[Candidate_ID]])=0,"",_xlfn.MINIFS(tblActivities[Activity_Date],tblActivities[Activity_Type],"Hired",tblActivities[Candidate_ID],Data_Model[[#This Row],[Candidate_ID]])),"")</f>
        <v/>
      </c>
      <c r="L180">
        <f>IF(Data_Model[[#This Row],[Submission_Date]]="",0,1)</f>
        <v>1</v>
      </c>
      <c r="M180">
        <f>IF(Data_Model[[#This Row],[Interview_Date]]="",0,1)</f>
        <v>1</v>
      </c>
      <c r="N180">
        <f>IF(Data_Model[[#This Row],[Hire_Date]]="",0,1)</f>
        <v>0</v>
      </c>
      <c r="O180">
        <f>IF(OR(Data_Model[ [#This Row],[Submission_Date] ]= "",Data_Model[[#This Row],[Resume_Date]] = "",Data_Model[[#This Row],[Submission_Date]] &lt; Data_Model[[#This Row],[Resume_Date]]), "",Data_Model[[#This Row],[Submission_Date]] - Data_Model[[#This Row],[Resume_Date]])</f>
        <v>10</v>
      </c>
      <c r="P180">
        <f>IF(OR(Data_Model[[#This Row],[Submission_Date]]="",Data_Model[[#This Row],[Interview_Date]]="",Data_Model[[#This Row],[Interview_Date]] &lt; Data_Model[[#This Row],[Submission_Date]]),"",Data_Model[[#This Row],[Interview_Date]]-Data_Model[[#This Row],[Submission_Date]])</f>
        <v>3</v>
      </c>
      <c r="Q180" s="4" t="str">
        <f>IF(OR(Data_Model[[#This Row],[Submission_Date]]="",Data_Model[[#This Row],[Hire_Date]]="",Data_Model[[#This Row],[Hire_Date]] &lt; Data_Model[[#This Row],[Submission_Date]]),"",Data_Model[[#This Row],[Hire_Date]]-Data_Model[[#This Row],[Submission_Date]])</f>
        <v/>
      </c>
      <c r="R180" s="4">
        <f>IF(AND(Data_Model[[#This Row],[Submission_Flag]]=1,Data_Model[[#This Row],[Hire_Flag]]=1,Data_Model[[#This Row],[Hire_Date]]&lt;Data_Model[[#This Row],[Submission_Date]]),1,0)</f>
        <v>0</v>
      </c>
    </row>
    <row r="181" spans="1:18" x14ac:dyDescent="0.25">
      <c r="A181" t="s">
        <v>230</v>
      </c>
      <c r="B181" t="s">
        <v>24</v>
      </c>
      <c r="C181" t="s">
        <v>38</v>
      </c>
      <c r="D181" t="s">
        <v>52</v>
      </c>
      <c r="E181" s="2">
        <v>45672</v>
      </c>
      <c r="F181" t="s">
        <v>40</v>
      </c>
      <c r="G181">
        <v>4</v>
      </c>
      <c r="H181" t="s">
        <v>47</v>
      </c>
      <c r="I18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8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45676</v>
      </c>
      <c r="K181" s="2">
        <f>IFERROR(IF(_xlfn.MINIFS(tblActivities[Activity_Date],tblActivities[Activity_Type],"Hired",tblActivities[Candidate_ID],Data_Model[[#This Row],[Candidate_ID]])=0,"",_xlfn.MINIFS(tblActivities[Activity_Date],tblActivities[Activity_Type],"Hired",tblActivities[Candidate_ID],Data_Model[[#This Row],[Candidate_ID]])),"")</f>
        <v>45678</v>
      </c>
      <c r="L181">
        <f>IF(Data_Model[[#This Row],[Submission_Date]]="",0,1)</f>
        <v>0</v>
      </c>
      <c r="M181">
        <f>IF(Data_Model[[#This Row],[Interview_Date]]="",0,1)</f>
        <v>1</v>
      </c>
      <c r="N181">
        <f>IF(Data_Model[[#This Row],[Hire_Date]]="",0,1)</f>
        <v>1</v>
      </c>
      <c r="O181" t="str">
        <f>IF(OR(Data_Model[ [#This Row],[Submission_Date] ]= "",Data_Model[[#This Row],[Resume_Date]] = "",Data_Model[[#This Row],[Submission_Date]] &lt; Data_Model[[#This Row],[Resume_Date]]), "",Data_Model[[#This Row],[Submission_Date]] - Data_Model[[#This Row],[Resume_Date]])</f>
        <v/>
      </c>
      <c r="P181" t="str">
        <f>IF(OR(Data_Model[[#This Row],[Submission_Date]]="",Data_Model[[#This Row],[Interview_Date]]="",Data_Model[[#This Row],[Interview_Date]] &lt; Data_Model[[#This Row],[Submission_Date]]),"",Data_Model[[#This Row],[Interview_Date]]-Data_Model[[#This Row],[Submission_Date]])</f>
        <v/>
      </c>
      <c r="Q181" s="4" t="str">
        <f>IF(OR(Data_Model[[#This Row],[Submission_Date]]="",Data_Model[[#This Row],[Hire_Date]]="",Data_Model[[#This Row],[Hire_Date]] &lt; Data_Model[[#This Row],[Submission_Date]]),"",Data_Model[[#This Row],[Hire_Date]]-Data_Model[[#This Row],[Submission_Date]])</f>
        <v/>
      </c>
      <c r="R181" s="4">
        <f>IF(AND(Data_Model[[#This Row],[Submission_Flag]]=1,Data_Model[[#This Row],[Hire_Flag]]=1,Data_Model[[#This Row],[Hire_Date]]&lt;Data_Model[[#This Row],[Submission_Date]]),1,0)</f>
        <v>0</v>
      </c>
    </row>
    <row r="182" spans="1:18" x14ac:dyDescent="0.25">
      <c r="A182" t="s">
        <v>231</v>
      </c>
      <c r="B182" t="s">
        <v>13</v>
      </c>
      <c r="C182" t="s">
        <v>45</v>
      </c>
      <c r="D182" t="s">
        <v>50</v>
      </c>
      <c r="E182" s="2">
        <v>45670</v>
      </c>
      <c r="F182" t="s">
        <v>40</v>
      </c>
      <c r="G182">
        <v>3</v>
      </c>
      <c r="H182" t="s">
        <v>57</v>
      </c>
      <c r="I182"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45677</v>
      </c>
      <c r="J18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82" s="2">
        <f>IFERROR(IF(_xlfn.MINIFS(tblActivities[Activity_Date],tblActivities[Activity_Type],"Hired",tblActivities[Candidate_ID],Data_Model[[#This Row],[Candidate_ID]])=0,"",_xlfn.MINIFS(tblActivities[Activity_Date],tblActivities[Activity_Type],"Hired",tblActivities[Candidate_ID],Data_Model[[#This Row],[Candidate_ID]])),"")</f>
        <v>45671</v>
      </c>
      <c r="L182">
        <f>IF(Data_Model[[#This Row],[Submission_Date]]="",0,1)</f>
        <v>1</v>
      </c>
      <c r="M182">
        <f>IF(Data_Model[[#This Row],[Interview_Date]]="",0,1)</f>
        <v>0</v>
      </c>
      <c r="N182">
        <f>IF(Data_Model[[#This Row],[Hire_Date]]="",0,1)</f>
        <v>1</v>
      </c>
      <c r="O182">
        <f>IF(OR(Data_Model[ [#This Row],[Submission_Date] ]= "",Data_Model[[#This Row],[Resume_Date]] = "",Data_Model[[#This Row],[Submission_Date]] &lt; Data_Model[[#This Row],[Resume_Date]]), "",Data_Model[[#This Row],[Submission_Date]] - Data_Model[[#This Row],[Resume_Date]])</f>
        <v>7</v>
      </c>
      <c r="P182" t="str">
        <f>IF(OR(Data_Model[[#This Row],[Submission_Date]]="",Data_Model[[#This Row],[Interview_Date]]="",Data_Model[[#This Row],[Interview_Date]] &lt; Data_Model[[#This Row],[Submission_Date]]),"",Data_Model[[#This Row],[Interview_Date]]-Data_Model[[#This Row],[Submission_Date]])</f>
        <v/>
      </c>
      <c r="Q182" s="4" t="str">
        <f>IF(OR(Data_Model[[#This Row],[Submission_Date]]="",Data_Model[[#This Row],[Hire_Date]]="",Data_Model[[#This Row],[Hire_Date]] &lt; Data_Model[[#This Row],[Submission_Date]]),"",Data_Model[[#This Row],[Hire_Date]]-Data_Model[[#This Row],[Submission_Date]])</f>
        <v/>
      </c>
      <c r="R182" s="4">
        <f>IF(AND(Data_Model[[#This Row],[Submission_Flag]]=1,Data_Model[[#This Row],[Hire_Flag]]=1,Data_Model[[#This Row],[Hire_Date]]&lt;Data_Model[[#This Row],[Submission_Date]]),1,0)</f>
        <v>1</v>
      </c>
    </row>
    <row r="183" spans="1:18" x14ac:dyDescent="0.25">
      <c r="A183" t="s">
        <v>232</v>
      </c>
      <c r="B183" t="s">
        <v>10</v>
      </c>
      <c r="C183" t="s">
        <v>49</v>
      </c>
      <c r="D183" t="s">
        <v>42</v>
      </c>
      <c r="E183" s="2">
        <v>45666</v>
      </c>
      <c r="F183" t="s">
        <v>43</v>
      </c>
      <c r="G183">
        <v>7</v>
      </c>
      <c r="H183" t="s">
        <v>47</v>
      </c>
      <c r="I18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45680</v>
      </c>
      <c r="J18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45683</v>
      </c>
      <c r="K183" s="2">
        <f>IFERROR(IF(_xlfn.MINIFS(tblActivities[Activity_Date],tblActivities[Activity_Type],"Hired",tblActivities[Candidate_ID],Data_Model[[#This Row],[Candidate_ID]])=0,"",_xlfn.MINIFS(tblActivities[Activity_Date],tblActivities[Activity_Type],"Hired",tblActivities[Candidate_ID],Data_Model[[#This Row],[Candidate_ID]])),"")</f>
        <v>45681</v>
      </c>
      <c r="L183">
        <f>IF(Data_Model[[#This Row],[Submission_Date]]="",0,1)</f>
        <v>1</v>
      </c>
      <c r="M183">
        <f>IF(Data_Model[[#This Row],[Interview_Date]]="",0,1)</f>
        <v>1</v>
      </c>
      <c r="N183">
        <f>IF(Data_Model[[#This Row],[Hire_Date]]="",0,1)</f>
        <v>1</v>
      </c>
      <c r="O183">
        <f>IF(OR(Data_Model[ [#This Row],[Submission_Date] ]= "",Data_Model[[#This Row],[Resume_Date]] = "",Data_Model[[#This Row],[Submission_Date]] &lt; Data_Model[[#This Row],[Resume_Date]]), "",Data_Model[[#This Row],[Submission_Date]] - Data_Model[[#This Row],[Resume_Date]])</f>
        <v>14</v>
      </c>
      <c r="P183">
        <f>IF(OR(Data_Model[[#This Row],[Submission_Date]]="",Data_Model[[#This Row],[Interview_Date]]="",Data_Model[[#This Row],[Interview_Date]] &lt; Data_Model[[#This Row],[Submission_Date]]),"",Data_Model[[#This Row],[Interview_Date]]-Data_Model[[#This Row],[Submission_Date]])</f>
        <v>3</v>
      </c>
      <c r="Q183" s="4">
        <f>IF(OR(Data_Model[[#This Row],[Submission_Date]]="",Data_Model[[#This Row],[Hire_Date]]="",Data_Model[[#This Row],[Hire_Date]] &lt; Data_Model[[#This Row],[Submission_Date]]),"",Data_Model[[#This Row],[Hire_Date]]-Data_Model[[#This Row],[Submission_Date]])</f>
        <v>1</v>
      </c>
      <c r="R183" s="4">
        <f>IF(AND(Data_Model[[#This Row],[Submission_Flag]]=1,Data_Model[[#This Row],[Hire_Flag]]=1,Data_Model[[#This Row],[Hire_Date]]&lt;Data_Model[[#This Row],[Submission_Date]]),1,0)</f>
        <v>0</v>
      </c>
    </row>
    <row r="184" spans="1:18" x14ac:dyDescent="0.25">
      <c r="A184" t="s">
        <v>233</v>
      </c>
      <c r="B184" t="s">
        <v>16</v>
      </c>
      <c r="C184" t="s">
        <v>38</v>
      </c>
      <c r="D184" t="s">
        <v>34</v>
      </c>
      <c r="E184" s="2">
        <v>45660</v>
      </c>
      <c r="F184" t="s">
        <v>43</v>
      </c>
      <c r="G184">
        <v>7</v>
      </c>
      <c r="H184" t="s">
        <v>57</v>
      </c>
      <c r="I18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8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45669</v>
      </c>
      <c r="K184" s="2">
        <f>IFERROR(IF(_xlfn.MINIFS(tblActivities[Activity_Date],tblActivities[Activity_Type],"Hired",tblActivities[Candidate_ID],Data_Model[[#This Row],[Candidate_ID]])=0,"",_xlfn.MINIFS(tblActivities[Activity_Date],tblActivities[Activity_Type],"Hired",tblActivities[Candidate_ID],Data_Model[[#This Row],[Candidate_ID]])),"")</f>
        <v>45674</v>
      </c>
      <c r="L184">
        <f>IF(Data_Model[[#This Row],[Submission_Date]]="",0,1)</f>
        <v>0</v>
      </c>
      <c r="M184">
        <f>IF(Data_Model[[#This Row],[Interview_Date]]="",0,1)</f>
        <v>1</v>
      </c>
      <c r="N184">
        <f>IF(Data_Model[[#This Row],[Hire_Date]]="",0,1)</f>
        <v>1</v>
      </c>
      <c r="O184" t="str">
        <f>IF(OR(Data_Model[ [#This Row],[Submission_Date] ]= "",Data_Model[[#This Row],[Resume_Date]] = "",Data_Model[[#This Row],[Submission_Date]] &lt; Data_Model[[#This Row],[Resume_Date]]), "",Data_Model[[#This Row],[Submission_Date]] - Data_Model[[#This Row],[Resume_Date]])</f>
        <v/>
      </c>
      <c r="P184" t="str">
        <f>IF(OR(Data_Model[[#This Row],[Submission_Date]]="",Data_Model[[#This Row],[Interview_Date]]="",Data_Model[[#This Row],[Interview_Date]] &lt; Data_Model[[#This Row],[Submission_Date]]),"",Data_Model[[#This Row],[Interview_Date]]-Data_Model[[#This Row],[Submission_Date]])</f>
        <v/>
      </c>
      <c r="Q184" s="4" t="str">
        <f>IF(OR(Data_Model[[#This Row],[Submission_Date]]="",Data_Model[[#This Row],[Hire_Date]]="",Data_Model[[#This Row],[Hire_Date]] &lt; Data_Model[[#This Row],[Submission_Date]]),"",Data_Model[[#This Row],[Hire_Date]]-Data_Model[[#This Row],[Submission_Date]])</f>
        <v/>
      </c>
      <c r="R184" s="4">
        <f>IF(AND(Data_Model[[#This Row],[Submission_Flag]]=1,Data_Model[[#This Row],[Hire_Flag]]=1,Data_Model[[#This Row],[Hire_Date]]&lt;Data_Model[[#This Row],[Submission_Date]]),1,0)</f>
        <v>0</v>
      </c>
    </row>
    <row r="185" spans="1:18" x14ac:dyDescent="0.25">
      <c r="A185" t="s">
        <v>234</v>
      </c>
      <c r="B185" t="s">
        <v>16</v>
      </c>
      <c r="C185" t="s">
        <v>33</v>
      </c>
      <c r="D185" t="s">
        <v>42</v>
      </c>
      <c r="E185" s="2">
        <v>45668</v>
      </c>
      <c r="F185" t="s">
        <v>40</v>
      </c>
      <c r="G185">
        <v>2</v>
      </c>
      <c r="H185" t="s">
        <v>57</v>
      </c>
      <c r="I185"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8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45675</v>
      </c>
      <c r="K185" s="2">
        <f>IFERROR(IF(_xlfn.MINIFS(tblActivities[Activity_Date],tblActivities[Activity_Type],"Hired",tblActivities[Candidate_ID],Data_Model[[#This Row],[Candidate_ID]])=0,"",_xlfn.MINIFS(tblActivities[Activity_Date],tblActivities[Activity_Type],"Hired",tblActivities[Candidate_ID],Data_Model[[#This Row],[Candidate_ID]])),"")</f>
        <v>45682</v>
      </c>
      <c r="L185">
        <f>IF(Data_Model[[#This Row],[Submission_Date]]="",0,1)</f>
        <v>0</v>
      </c>
      <c r="M185">
        <f>IF(Data_Model[[#This Row],[Interview_Date]]="",0,1)</f>
        <v>1</v>
      </c>
      <c r="N185">
        <f>IF(Data_Model[[#This Row],[Hire_Date]]="",0,1)</f>
        <v>1</v>
      </c>
      <c r="O185" t="str">
        <f>IF(OR(Data_Model[ [#This Row],[Submission_Date] ]= "",Data_Model[[#This Row],[Resume_Date]] = "",Data_Model[[#This Row],[Submission_Date]] &lt; Data_Model[[#This Row],[Resume_Date]]), "",Data_Model[[#This Row],[Submission_Date]] - Data_Model[[#This Row],[Resume_Date]])</f>
        <v/>
      </c>
      <c r="P185" t="str">
        <f>IF(OR(Data_Model[[#This Row],[Submission_Date]]="",Data_Model[[#This Row],[Interview_Date]]="",Data_Model[[#This Row],[Interview_Date]] &lt; Data_Model[[#This Row],[Submission_Date]]),"",Data_Model[[#This Row],[Interview_Date]]-Data_Model[[#This Row],[Submission_Date]])</f>
        <v/>
      </c>
      <c r="Q185" s="4" t="str">
        <f>IF(OR(Data_Model[[#This Row],[Submission_Date]]="",Data_Model[[#This Row],[Hire_Date]]="",Data_Model[[#This Row],[Hire_Date]] &lt; Data_Model[[#This Row],[Submission_Date]]),"",Data_Model[[#This Row],[Hire_Date]]-Data_Model[[#This Row],[Submission_Date]])</f>
        <v/>
      </c>
      <c r="R185" s="4">
        <f>IF(AND(Data_Model[[#This Row],[Submission_Flag]]=1,Data_Model[[#This Row],[Hire_Flag]]=1,Data_Model[[#This Row],[Hire_Date]]&lt;Data_Model[[#This Row],[Submission_Date]]),1,0)</f>
        <v>0</v>
      </c>
    </row>
    <row r="186" spans="1:18" x14ac:dyDescent="0.25">
      <c r="A186" t="s">
        <v>235</v>
      </c>
      <c r="B186" t="s">
        <v>24</v>
      </c>
      <c r="C186" t="s">
        <v>45</v>
      </c>
      <c r="D186" t="s">
        <v>42</v>
      </c>
      <c r="E186" s="2">
        <v>45669</v>
      </c>
      <c r="F186" t="s">
        <v>40</v>
      </c>
      <c r="G186">
        <v>9</v>
      </c>
      <c r="H186" t="s">
        <v>47</v>
      </c>
      <c r="I18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45666</v>
      </c>
      <c r="J186"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86" s="2" t="str">
        <f>IFERROR(IF(_xlfn.MINIFS(tblActivities[Activity_Date],tblActivities[Activity_Type],"Hired",tblActivities[Candidate_ID],Data_Model[[#This Row],[Candidate_ID]])=0,"",_xlfn.MINIFS(tblActivities[Activity_Date],tblActivities[Activity_Type],"Hired",tblActivities[Candidate_ID],Data_Model[[#This Row],[Candidate_ID]])),"")</f>
        <v/>
      </c>
      <c r="L186">
        <f>IF(Data_Model[[#This Row],[Submission_Date]]="",0,1)</f>
        <v>1</v>
      </c>
      <c r="M186">
        <f>IF(Data_Model[[#This Row],[Interview_Date]]="",0,1)</f>
        <v>0</v>
      </c>
      <c r="N186">
        <f>IF(Data_Model[[#This Row],[Hire_Date]]="",0,1)</f>
        <v>0</v>
      </c>
      <c r="O186" t="str">
        <f>IF(OR(Data_Model[ [#This Row],[Submission_Date] ]= "",Data_Model[[#This Row],[Resume_Date]] = "",Data_Model[[#This Row],[Submission_Date]] &lt; Data_Model[[#This Row],[Resume_Date]]), "",Data_Model[[#This Row],[Submission_Date]] - Data_Model[[#This Row],[Resume_Date]])</f>
        <v/>
      </c>
      <c r="P186" t="str">
        <f>IF(OR(Data_Model[[#This Row],[Submission_Date]]="",Data_Model[[#This Row],[Interview_Date]]="",Data_Model[[#This Row],[Interview_Date]] &lt; Data_Model[[#This Row],[Submission_Date]]),"",Data_Model[[#This Row],[Interview_Date]]-Data_Model[[#This Row],[Submission_Date]])</f>
        <v/>
      </c>
      <c r="Q186" s="4" t="str">
        <f>IF(OR(Data_Model[[#This Row],[Submission_Date]]="",Data_Model[[#This Row],[Hire_Date]]="",Data_Model[[#This Row],[Hire_Date]] &lt; Data_Model[[#This Row],[Submission_Date]]),"",Data_Model[[#This Row],[Hire_Date]]-Data_Model[[#This Row],[Submission_Date]])</f>
        <v/>
      </c>
      <c r="R186" s="4">
        <f>IF(AND(Data_Model[[#This Row],[Submission_Flag]]=1,Data_Model[[#This Row],[Hire_Flag]]=1,Data_Model[[#This Row],[Hire_Date]]&lt;Data_Model[[#This Row],[Submission_Date]]),1,0)</f>
        <v>0</v>
      </c>
    </row>
    <row r="187" spans="1:18" x14ac:dyDescent="0.25">
      <c r="A187" t="s">
        <v>236</v>
      </c>
      <c r="B187" t="s">
        <v>20</v>
      </c>
      <c r="C187" t="s">
        <v>45</v>
      </c>
      <c r="D187" t="s">
        <v>52</v>
      </c>
      <c r="E187" s="2">
        <v>45666</v>
      </c>
      <c r="F187" t="s">
        <v>43</v>
      </c>
      <c r="G187">
        <v>2</v>
      </c>
      <c r="H187" t="s">
        <v>60</v>
      </c>
      <c r="I18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45684</v>
      </c>
      <c r="J18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87" s="2">
        <f>IFERROR(IF(_xlfn.MINIFS(tblActivities[Activity_Date],tblActivities[Activity_Type],"Hired",tblActivities[Candidate_ID],Data_Model[[#This Row],[Candidate_ID]])=0,"",_xlfn.MINIFS(tblActivities[Activity_Date],tblActivities[Activity_Type],"Hired",tblActivities[Candidate_ID],Data_Model[[#This Row],[Candidate_ID]])),"")</f>
        <v>45686</v>
      </c>
      <c r="L187">
        <f>IF(Data_Model[[#This Row],[Submission_Date]]="",0,1)</f>
        <v>1</v>
      </c>
      <c r="M187">
        <f>IF(Data_Model[[#This Row],[Interview_Date]]="",0,1)</f>
        <v>0</v>
      </c>
      <c r="N187">
        <f>IF(Data_Model[[#This Row],[Hire_Date]]="",0,1)</f>
        <v>1</v>
      </c>
      <c r="O187">
        <f>IF(OR(Data_Model[ [#This Row],[Submission_Date] ]= "",Data_Model[[#This Row],[Resume_Date]] = "",Data_Model[[#This Row],[Submission_Date]] &lt; Data_Model[[#This Row],[Resume_Date]]), "",Data_Model[[#This Row],[Submission_Date]] - Data_Model[[#This Row],[Resume_Date]])</f>
        <v>18</v>
      </c>
      <c r="P187" t="str">
        <f>IF(OR(Data_Model[[#This Row],[Submission_Date]]="",Data_Model[[#This Row],[Interview_Date]]="",Data_Model[[#This Row],[Interview_Date]] &lt; Data_Model[[#This Row],[Submission_Date]]),"",Data_Model[[#This Row],[Interview_Date]]-Data_Model[[#This Row],[Submission_Date]])</f>
        <v/>
      </c>
      <c r="Q187" s="4">
        <f>IF(OR(Data_Model[[#This Row],[Submission_Date]]="",Data_Model[[#This Row],[Hire_Date]]="",Data_Model[[#This Row],[Hire_Date]] &lt; Data_Model[[#This Row],[Submission_Date]]),"",Data_Model[[#This Row],[Hire_Date]]-Data_Model[[#This Row],[Submission_Date]])</f>
        <v>2</v>
      </c>
      <c r="R187" s="4">
        <f>IF(AND(Data_Model[[#This Row],[Submission_Flag]]=1,Data_Model[[#This Row],[Hire_Flag]]=1,Data_Model[[#This Row],[Hire_Date]]&lt;Data_Model[[#This Row],[Submission_Date]]),1,0)</f>
        <v>0</v>
      </c>
    </row>
    <row r="188" spans="1:18" x14ac:dyDescent="0.25">
      <c r="A188" t="s">
        <v>237</v>
      </c>
      <c r="B188" t="s">
        <v>16</v>
      </c>
      <c r="C188" t="s">
        <v>38</v>
      </c>
      <c r="D188" t="s">
        <v>50</v>
      </c>
      <c r="E188" s="2">
        <v>45672</v>
      </c>
      <c r="F188" t="s">
        <v>46</v>
      </c>
      <c r="G188">
        <v>9</v>
      </c>
      <c r="H188" t="s">
        <v>57</v>
      </c>
      <c r="I18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88"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45671</v>
      </c>
      <c r="K188" s="2">
        <f>IFERROR(IF(_xlfn.MINIFS(tblActivities[Activity_Date],tblActivities[Activity_Type],"Hired",tblActivities[Candidate_ID],Data_Model[[#This Row],[Candidate_ID]])=0,"",_xlfn.MINIFS(tblActivities[Activity_Date],tblActivities[Activity_Type],"Hired",tblActivities[Candidate_ID],Data_Model[[#This Row],[Candidate_ID]])),"")</f>
        <v>45661</v>
      </c>
      <c r="L188">
        <f>IF(Data_Model[[#This Row],[Submission_Date]]="",0,1)</f>
        <v>0</v>
      </c>
      <c r="M188">
        <f>IF(Data_Model[[#This Row],[Interview_Date]]="",0,1)</f>
        <v>1</v>
      </c>
      <c r="N188">
        <f>IF(Data_Model[[#This Row],[Hire_Date]]="",0,1)</f>
        <v>1</v>
      </c>
      <c r="O188" t="str">
        <f>IF(OR(Data_Model[ [#This Row],[Submission_Date] ]= "",Data_Model[[#This Row],[Resume_Date]] = "",Data_Model[[#This Row],[Submission_Date]] &lt; Data_Model[[#This Row],[Resume_Date]]), "",Data_Model[[#This Row],[Submission_Date]] - Data_Model[[#This Row],[Resume_Date]])</f>
        <v/>
      </c>
      <c r="P188" t="str">
        <f>IF(OR(Data_Model[[#This Row],[Submission_Date]]="",Data_Model[[#This Row],[Interview_Date]]="",Data_Model[[#This Row],[Interview_Date]] &lt; Data_Model[[#This Row],[Submission_Date]]),"",Data_Model[[#This Row],[Interview_Date]]-Data_Model[[#This Row],[Submission_Date]])</f>
        <v/>
      </c>
      <c r="Q188" s="4" t="str">
        <f>IF(OR(Data_Model[[#This Row],[Submission_Date]]="",Data_Model[[#This Row],[Hire_Date]]="",Data_Model[[#This Row],[Hire_Date]] &lt; Data_Model[[#This Row],[Submission_Date]]),"",Data_Model[[#This Row],[Hire_Date]]-Data_Model[[#This Row],[Submission_Date]])</f>
        <v/>
      </c>
      <c r="R188" s="4">
        <f>IF(AND(Data_Model[[#This Row],[Submission_Flag]]=1,Data_Model[[#This Row],[Hire_Flag]]=1,Data_Model[[#This Row],[Hire_Date]]&lt;Data_Model[[#This Row],[Submission_Date]]),1,0)</f>
        <v>0</v>
      </c>
    </row>
    <row r="189" spans="1:18" x14ac:dyDescent="0.25">
      <c r="A189" t="s">
        <v>238</v>
      </c>
      <c r="B189" t="s">
        <v>19</v>
      </c>
      <c r="C189" t="s">
        <v>38</v>
      </c>
      <c r="D189" t="s">
        <v>39</v>
      </c>
      <c r="E189" s="2">
        <v>45669</v>
      </c>
      <c r="F189" t="s">
        <v>40</v>
      </c>
      <c r="G189">
        <v>3</v>
      </c>
      <c r="H189" t="s">
        <v>36</v>
      </c>
      <c r="I189"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8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45670</v>
      </c>
      <c r="K189" s="2" t="str">
        <f>IFERROR(IF(_xlfn.MINIFS(tblActivities[Activity_Date],tblActivities[Activity_Type],"Hired",tblActivities[Candidate_ID],Data_Model[[#This Row],[Candidate_ID]])=0,"",_xlfn.MINIFS(tblActivities[Activity_Date],tblActivities[Activity_Type],"Hired",tblActivities[Candidate_ID],Data_Model[[#This Row],[Candidate_ID]])),"")</f>
        <v/>
      </c>
      <c r="L189">
        <f>IF(Data_Model[[#This Row],[Submission_Date]]="",0,1)</f>
        <v>0</v>
      </c>
      <c r="M189">
        <f>IF(Data_Model[[#This Row],[Interview_Date]]="",0,1)</f>
        <v>1</v>
      </c>
      <c r="N189">
        <f>IF(Data_Model[[#This Row],[Hire_Date]]="",0,1)</f>
        <v>0</v>
      </c>
      <c r="O189" t="str">
        <f>IF(OR(Data_Model[ [#This Row],[Submission_Date] ]= "",Data_Model[[#This Row],[Resume_Date]] = "",Data_Model[[#This Row],[Submission_Date]] &lt; Data_Model[[#This Row],[Resume_Date]]), "",Data_Model[[#This Row],[Submission_Date]] - Data_Model[[#This Row],[Resume_Date]])</f>
        <v/>
      </c>
      <c r="P189" t="str">
        <f>IF(OR(Data_Model[[#This Row],[Submission_Date]]="",Data_Model[[#This Row],[Interview_Date]]="",Data_Model[[#This Row],[Interview_Date]] &lt; Data_Model[[#This Row],[Submission_Date]]),"",Data_Model[[#This Row],[Interview_Date]]-Data_Model[[#This Row],[Submission_Date]])</f>
        <v/>
      </c>
      <c r="Q189" s="4" t="str">
        <f>IF(OR(Data_Model[[#This Row],[Submission_Date]]="",Data_Model[[#This Row],[Hire_Date]]="",Data_Model[[#This Row],[Hire_Date]] &lt; Data_Model[[#This Row],[Submission_Date]]),"",Data_Model[[#This Row],[Hire_Date]]-Data_Model[[#This Row],[Submission_Date]])</f>
        <v/>
      </c>
      <c r="R189" s="4">
        <f>IF(AND(Data_Model[[#This Row],[Submission_Flag]]=1,Data_Model[[#This Row],[Hire_Flag]]=1,Data_Model[[#This Row],[Hire_Date]]&lt;Data_Model[[#This Row],[Submission_Date]]),1,0)</f>
        <v>0</v>
      </c>
    </row>
    <row r="190" spans="1:18" x14ac:dyDescent="0.25">
      <c r="A190" t="s">
        <v>239</v>
      </c>
      <c r="B190" t="s">
        <v>23</v>
      </c>
      <c r="C190" t="s">
        <v>38</v>
      </c>
      <c r="D190" t="s">
        <v>52</v>
      </c>
      <c r="E190" s="2">
        <v>45671</v>
      </c>
      <c r="F190" t="s">
        <v>35</v>
      </c>
      <c r="G190">
        <v>9</v>
      </c>
      <c r="H190" t="s">
        <v>57</v>
      </c>
      <c r="I190"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45687</v>
      </c>
      <c r="J19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90" s="2">
        <f>IFERROR(IF(_xlfn.MINIFS(tblActivities[Activity_Date],tblActivities[Activity_Type],"Hired",tblActivities[Candidate_ID],Data_Model[[#This Row],[Candidate_ID]])=0,"",_xlfn.MINIFS(tblActivities[Activity_Date],tblActivities[Activity_Type],"Hired",tblActivities[Candidate_ID],Data_Model[[#This Row],[Candidate_ID]])),"")</f>
        <v>45676</v>
      </c>
      <c r="L190">
        <f>IF(Data_Model[[#This Row],[Submission_Date]]="",0,1)</f>
        <v>1</v>
      </c>
      <c r="M190">
        <f>IF(Data_Model[[#This Row],[Interview_Date]]="",0,1)</f>
        <v>0</v>
      </c>
      <c r="N190">
        <f>IF(Data_Model[[#This Row],[Hire_Date]]="",0,1)</f>
        <v>1</v>
      </c>
      <c r="O190">
        <f>IF(OR(Data_Model[ [#This Row],[Submission_Date] ]= "",Data_Model[[#This Row],[Resume_Date]] = "",Data_Model[[#This Row],[Submission_Date]] &lt; Data_Model[[#This Row],[Resume_Date]]), "",Data_Model[[#This Row],[Submission_Date]] - Data_Model[[#This Row],[Resume_Date]])</f>
        <v>16</v>
      </c>
      <c r="P190" t="str">
        <f>IF(OR(Data_Model[[#This Row],[Submission_Date]]="",Data_Model[[#This Row],[Interview_Date]]="",Data_Model[[#This Row],[Interview_Date]] &lt; Data_Model[[#This Row],[Submission_Date]]),"",Data_Model[[#This Row],[Interview_Date]]-Data_Model[[#This Row],[Submission_Date]])</f>
        <v/>
      </c>
      <c r="Q190" s="4" t="str">
        <f>IF(OR(Data_Model[[#This Row],[Submission_Date]]="",Data_Model[[#This Row],[Hire_Date]]="",Data_Model[[#This Row],[Hire_Date]] &lt; Data_Model[[#This Row],[Submission_Date]]),"",Data_Model[[#This Row],[Hire_Date]]-Data_Model[[#This Row],[Submission_Date]])</f>
        <v/>
      </c>
      <c r="R190" s="4">
        <f>IF(AND(Data_Model[[#This Row],[Submission_Flag]]=1,Data_Model[[#This Row],[Hire_Flag]]=1,Data_Model[[#This Row],[Hire_Date]]&lt;Data_Model[[#This Row],[Submission_Date]]),1,0)</f>
        <v>1</v>
      </c>
    </row>
    <row r="191" spans="1:18" x14ac:dyDescent="0.25">
      <c r="A191" t="s">
        <v>240</v>
      </c>
      <c r="B191" t="s">
        <v>19</v>
      </c>
      <c r="C191" t="s">
        <v>49</v>
      </c>
      <c r="D191" t="s">
        <v>42</v>
      </c>
      <c r="E191" s="2">
        <v>45670</v>
      </c>
      <c r="F191" t="s">
        <v>64</v>
      </c>
      <c r="G191">
        <v>10</v>
      </c>
      <c r="H191" t="s">
        <v>47</v>
      </c>
      <c r="I191"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9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45660</v>
      </c>
      <c r="K191" s="2">
        <f>IFERROR(IF(_xlfn.MINIFS(tblActivities[Activity_Date],tblActivities[Activity_Type],"Hired",tblActivities[Candidate_ID],Data_Model[[#This Row],[Candidate_ID]])=0,"",_xlfn.MINIFS(tblActivities[Activity_Date],tblActivities[Activity_Type],"Hired",tblActivities[Candidate_ID],Data_Model[[#This Row],[Candidate_ID]])),"")</f>
        <v>45668</v>
      </c>
      <c r="L191">
        <f>IF(Data_Model[[#This Row],[Submission_Date]]="",0,1)</f>
        <v>0</v>
      </c>
      <c r="M191">
        <f>IF(Data_Model[[#This Row],[Interview_Date]]="",0,1)</f>
        <v>1</v>
      </c>
      <c r="N191">
        <f>IF(Data_Model[[#This Row],[Hire_Date]]="",0,1)</f>
        <v>1</v>
      </c>
      <c r="O191" t="str">
        <f>IF(OR(Data_Model[ [#This Row],[Submission_Date] ]= "",Data_Model[[#This Row],[Resume_Date]] = "",Data_Model[[#This Row],[Submission_Date]] &lt; Data_Model[[#This Row],[Resume_Date]]), "",Data_Model[[#This Row],[Submission_Date]] - Data_Model[[#This Row],[Resume_Date]])</f>
        <v/>
      </c>
      <c r="P191" t="str">
        <f>IF(OR(Data_Model[[#This Row],[Submission_Date]]="",Data_Model[[#This Row],[Interview_Date]]="",Data_Model[[#This Row],[Interview_Date]] &lt; Data_Model[[#This Row],[Submission_Date]]),"",Data_Model[[#This Row],[Interview_Date]]-Data_Model[[#This Row],[Submission_Date]])</f>
        <v/>
      </c>
      <c r="Q191" s="4" t="str">
        <f>IF(OR(Data_Model[[#This Row],[Submission_Date]]="",Data_Model[[#This Row],[Hire_Date]]="",Data_Model[[#This Row],[Hire_Date]] &lt; Data_Model[[#This Row],[Submission_Date]]),"",Data_Model[[#This Row],[Hire_Date]]-Data_Model[[#This Row],[Submission_Date]])</f>
        <v/>
      </c>
      <c r="R191" s="4">
        <f>IF(AND(Data_Model[[#This Row],[Submission_Flag]]=1,Data_Model[[#This Row],[Hire_Flag]]=1,Data_Model[[#This Row],[Hire_Date]]&lt;Data_Model[[#This Row],[Submission_Date]]),1,0)</f>
        <v>0</v>
      </c>
    </row>
    <row r="192" spans="1:18" x14ac:dyDescent="0.25">
      <c r="A192" t="s">
        <v>241</v>
      </c>
      <c r="B192" t="s">
        <v>24</v>
      </c>
      <c r="C192" t="s">
        <v>49</v>
      </c>
      <c r="D192" t="s">
        <v>50</v>
      </c>
      <c r="E192" s="2">
        <v>45668</v>
      </c>
      <c r="F192" t="s">
        <v>43</v>
      </c>
      <c r="G192">
        <v>4</v>
      </c>
      <c r="H192" t="s">
        <v>60</v>
      </c>
      <c r="I192"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92"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92" s="2" t="str">
        <f>IFERROR(IF(_xlfn.MINIFS(tblActivities[Activity_Date],tblActivities[Activity_Type],"Hired",tblActivities[Candidate_ID],Data_Model[[#This Row],[Candidate_ID]])=0,"",_xlfn.MINIFS(tblActivities[Activity_Date],tblActivities[Activity_Type],"Hired",tblActivities[Candidate_ID],Data_Model[[#This Row],[Candidate_ID]])),"")</f>
        <v/>
      </c>
      <c r="L192">
        <f>IF(Data_Model[[#This Row],[Submission_Date]]="",0,1)</f>
        <v>0</v>
      </c>
      <c r="M192">
        <f>IF(Data_Model[[#This Row],[Interview_Date]]="",0,1)</f>
        <v>0</v>
      </c>
      <c r="N192">
        <f>IF(Data_Model[[#This Row],[Hire_Date]]="",0,1)</f>
        <v>0</v>
      </c>
      <c r="O192" t="str">
        <f>IF(OR(Data_Model[ [#This Row],[Submission_Date] ]= "",Data_Model[[#This Row],[Resume_Date]] = "",Data_Model[[#This Row],[Submission_Date]] &lt; Data_Model[[#This Row],[Resume_Date]]), "",Data_Model[[#This Row],[Submission_Date]] - Data_Model[[#This Row],[Resume_Date]])</f>
        <v/>
      </c>
      <c r="P192" t="str">
        <f>IF(OR(Data_Model[[#This Row],[Submission_Date]]="",Data_Model[[#This Row],[Interview_Date]]="",Data_Model[[#This Row],[Interview_Date]] &lt; Data_Model[[#This Row],[Submission_Date]]),"",Data_Model[[#This Row],[Interview_Date]]-Data_Model[[#This Row],[Submission_Date]])</f>
        <v/>
      </c>
      <c r="Q192" s="4" t="str">
        <f>IF(OR(Data_Model[[#This Row],[Submission_Date]]="",Data_Model[[#This Row],[Hire_Date]]="",Data_Model[[#This Row],[Hire_Date]] &lt; Data_Model[[#This Row],[Submission_Date]]),"",Data_Model[[#This Row],[Hire_Date]]-Data_Model[[#This Row],[Submission_Date]])</f>
        <v/>
      </c>
      <c r="R192" s="4">
        <f>IF(AND(Data_Model[[#This Row],[Submission_Flag]]=1,Data_Model[[#This Row],[Hire_Flag]]=1,Data_Model[[#This Row],[Hire_Date]]&lt;Data_Model[[#This Row],[Submission_Date]]),1,0)</f>
        <v>0</v>
      </c>
    </row>
    <row r="193" spans="1:18" x14ac:dyDescent="0.25">
      <c r="A193" t="s">
        <v>242</v>
      </c>
      <c r="B193" t="s">
        <v>23</v>
      </c>
      <c r="C193" t="s">
        <v>33</v>
      </c>
      <c r="D193" t="s">
        <v>34</v>
      </c>
      <c r="E193" s="2">
        <v>45669</v>
      </c>
      <c r="F193" t="s">
        <v>64</v>
      </c>
      <c r="G193">
        <v>6</v>
      </c>
      <c r="H193" t="s">
        <v>36</v>
      </c>
      <c r="I193"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193"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45675</v>
      </c>
      <c r="K193" s="2" t="str">
        <f>IFERROR(IF(_xlfn.MINIFS(tblActivities[Activity_Date],tblActivities[Activity_Type],"Hired",tblActivities[Candidate_ID],Data_Model[[#This Row],[Candidate_ID]])=0,"",_xlfn.MINIFS(tblActivities[Activity_Date],tblActivities[Activity_Type],"Hired",tblActivities[Candidate_ID],Data_Model[[#This Row],[Candidate_ID]])),"")</f>
        <v/>
      </c>
      <c r="L193">
        <f>IF(Data_Model[[#This Row],[Submission_Date]]="",0,1)</f>
        <v>1</v>
      </c>
      <c r="M193">
        <f>IF(Data_Model[[#This Row],[Interview_Date]]="",0,1)</f>
        <v>1</v>
      </c>
      <c r="N193">
        <f>IF(Data_Model[[#This Row],[Hire_Date]]="",0,1)</f>
        <v>0</v>
      </c>
      <c r="O193">
        <f>IF(OR(Data_Model[ [#This Row],[Submission_Date] ]= "",Data_Model[[#This Row],[Resume_Date]] = "",Data_Model[[#This Row],[Submission_Date]] &lt; Data_Model[[#This Row],[Resume_Date]]), "",Data_Model[[#This Row],[Submission_Date]] - Data_Model[[#This Row],[Resume_Date]])</f>
        <v>9</v>
      </c>
      <c r="P193" t="str">
        <f>IF(OR(Data_Model[[#This Row],[Submission_Date]]="",Data_Model[[#This Row],[Interview_Date]]="",Data_Model[[#This Row],[Interview_Date]] &lt; Data_Model[[#This Row],[Submission_Date]]),"",Data_Model[[#This Row],[Interview_Date]]-Data_Model[[#This Row],[Submission_Date]])</f>
        <v/>
      </c>
      <c r="Q193" s="4" t="str">
        <f>IF(OR(Data_Model[[#This Row],[Submission_Date]]="",Data_Model[[#This Row],[Hire_Date]]="",Data_Model[[#This Row],[Hire_Date]] &lt; Data_Model[[#This Row],[Submission_Date]]),"",Data_Model[[#This Row],[Hire_Date]]-Data_Model[[#This Row],[Submission_Date]])</f>
        <v/>
      </c>
      <c r="R193" s="4">
        <f>IF(AND(Data_Model[[#This Row],[Submission_Flag]]=1,Data_Model[[#This Row],[Hire_Flag]]=1,Data_Model[[#This Row],[Hire_Date]]&lt;Data_Model[[#This Row],[Submission_Date]]),1,0)</f>
        <v>0</v>
      </c>
    </row>
    <row r="194" spans="1:18" x14ac:dyDescent="0.25">
      <c r="A194" t="s">
        <v>243</v>
      </c>
      <c r="B194" t="s">
        <v>16</v>
      </c>
      <c r="C194" t="s">
        <v>33</v>
      </c>
      <c r="D194" t="s">
        <v>50</v>
      </c>
      <c r="E194" s="2">
        <v>45677</v>
      </c>
      <c r="F194" t="s">
        <v>64</v>
      </c>
      <c r="G194">
        <v>1</v>
      </c>
      <c r="H194" t="s">
        <v>60</v>
      </c>
      <c r="I194"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94"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45671</v>
      </c>
      <c r="K194" s="2">
        <f>IFERROR(IF(_xlfn.MINIFS(tblActivities[Activity_Date],tblActivities[Activity_Type],"Hired",tblActivities[Candidate_ID],Data_Model[[#This Row],[Candidate_ID]])=0,"",_xlfn.MINIFS(tblActivities[Activity_Date],tblActivities[Activity_Type],"Hired",tblActivities[Candidate_ID],Data_Model[[#This Row],[Candidate_ID]])),"")</f>
        <v>45671</v>
      </c>
      <c r="L194">
        <f>IF(Data_Model[[#This Row],[Submission_Date]]="",0,1)</f>
        <v>0</v>
      </c>
      <c r="M194">
        <f>IF(Data_Model[[#This Row],[Interview_Date]]="",0,1)</f>
        <v>1</v>
      </c>
      <c r="N194">
        <f>IF(Data_Model[[#This Row],[Hire_Date]]="",0,1)</f>
        <v>1</v>
      </c>
      <c r="O194" t="str">
        <f>IF(OR(Data_Model[ [#This Row],[Submission_Date] ]= "",Data_Model[[#This Row],[Resume_Date]] = "",Data_Model[[#This Row],[Submission_Date]] &lt; Data_Model[[#This Row],[Resume_Date]]), "",Data_Model[[#This Row],[Submission_Date]] - Data_Model[[#This Row],[Resume_Date]])</f>
        <v/>
      </c>
      <c r="P194" t="str">
        <f>IF(OR(Data_Model[[#This Row],[Submission_Date]]="",Data_Model[[#This Row],[Interview_Date]]="",Data_Model[[#This Row],[Interview_Date]] &lt; Data_Model[[#This Row],[Submission_Date]]),"",Data_Model[[#This Row],[Interview_Date]]-Data_Model[[#This Row],[Submission_Date]])</f>
        <v/>
      </c>
      <c r="Q194" s="4" t="str">
        <f>IF(OR(Data_Model[[#This Row],[Submission_Date]]="",Data_Model[[#This Row],[Hire_Date]]="",Data_Model[[#This Row],[Hire_Date]] &lt; Data_Model[[#This Row],[Submission_Date]]),"",Data_Model[[#This Row],[Hire_Date]]-Data_Model[[#This Row],[Submission_Date]])</f>
        <v/>
      </c>
      <c r="R194" s="4">
        <f>IF(AND(Data_Model[[#This Row],[Submission_Flag]]=1,Data_Model[[#This Row],[Hire_Flag]]=1,Data_Model[[#This Row],[Hire_Date]]&lt;Data_Model[[#This Row],[Submission_Date]]),1,0)</f>
        <v>0</v>
      </c>
    </row>
    <row r="195" spans="1:18" x14ac:dyDescent="0.25">
      <c r="A195" t="s">
        <v>244</v>
      </c>
      <c r="B195" t="s">
        <v>17</v>
      </c>
      <c r="C195" t="s">
        <v>33</v>
      </c>
      <c r="D195" t="s">
        <v>52</v>
      </c>
      <c r="E195" s="2">
        <v>45663</v>
      </c>
      <c r="F195" t="s">
        <v>46</v>
      </c>
      <c r="G195">
        <v>6</v>
      </c>
      <c r="H195" t="s">
        <v>47</v>
      </c>
      <c r="I195"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45666</v>
      </c>
      <c r="J195"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45664</v>
      </c>
      <c r="K195" s="2">
        <f>IFERROR(IF(_xlfn.MINIFS(tblActivities[Activity_Date],tblActivities[Activity_Type],"Hired",tblActivities[Candidate_ID],Data_Model[[#This Row],[Candidate_ID]])=0,"",_xlfn.MINIFS(tblActivities[Activity_Date],tblActivities[Activity_Type],"Hired",tblActivities[Candidate_ID],Data_Model[[#This Row],[Candidate_ID]])),"")</f>
        <v>45661</v>
      </c>
      <c r="L195">
        <f>IF(Data_Model[[#This Row],[Submission_Date]]="",0,1)</f>
        <v>1</v>
      </c>
      <c r="M195">
        <f>IF(Data_Model[[#This Row],[Interview_Date]]="",0,1)</f>
        <v>1</v>
      </c>
      <c r="N195">
        <f>IF(Data_Model[[#This Row],[Hire_Date]]="",0,1)</f>
        <v>1</v>
      </c>
      <c r="O195">
        <f>IF(OR(Data_Model[ [#This Row],[Submission_Date] ]= "",Data_Model[[#This Row],[Resume_Date]] = "",Data_Model[[#This Row],[Submission_Date]] &lt; Data_Model[[#This Row],[Resume_Date]]), "",Data_Model[[#This Row],[Submission_Date]] - Data_Model[[#This Row],[Resume_Date]])</f>
        <v>3</v>
      </c>
      <c r="P195" t="str">
        <f>IF(OR(Data_Model[[#This Row],[Submission_Date]]="",Data_Model[[#This Row],[Interview_Date]]="",Data_Model[[#This Row],[Interview_Date]] &lt; Data_Model[[#This Row],[Submission_Date]]),"",Data_Model[[#This Row],[Interview_Date]]-Data_Model[[#This Row],[Submission_Date]])</f>
        <v/>
      </c>
      <c r="Q195" s="4" t="str">
        <f>IF(OR(Data_Model[[#This Row],[Submission_Date]]="",Data_Model[[#This Row],[Hire_Date]]="",Data_Model[[#This Row],[Hire_Date]] &lt; Data_Model[[#This Row],[Submission_Date]]),"",Data_Model[[#This Row],[Hire_Date]]-Data_Model[[#This Row],[Submission_Date]])</f>
        <v/>
      </c>
      <c r="R195" s="4">
        <f>IF(AND(Data_Model[[#This Row],[Submission_Flag]]=1,Data_Model[[#This Row],[Hire_Flag]]=1,Data_Model[[#This Row],[Hire_Date]]&lt;Data_Model[[#This Row],[Submission_Date]]),1,0)</f>
        <v>1</v>
      </c>
    </row>
    <row r="196" spans="1:18" x14ac:dyDescent="0.25">
      <c r="A196" t="s">
        <v>245</v>
      </c>
      <c r="B196" t="s">
        <v>16</v>
      </c>
      <c r="C196" t="s">
        <v>45</v>
      </c>
      <c r="D196" t="s">
        <v>50</v>
      </c>
      <c r="E196" s="2">
        <v>45660</v>
      </c>
      <c r="F196" t="s">
        <v>40</v>
      </c>
      <c r="G196">
        <v>3</v>
      </c>
      <c r="H196" t="s">
        <v>60</v>
      </c>
      <c r="I196"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45678</v>
      </c>
      <c r="J196"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45669</v>
      </c>
      <c r="K196" s="2" t="str">
        <f>IFERROR(IF(_xlfn.MINIFS(tblActivities[Activity_Date],tblActivities[Activity_Type],"Hired",tblActivities[Candidate_ID],Data_Model[[#This Row],[Candidate_ID]])=0,"",_xlfn.MINIFS(tblActivities[Activity_Date],tblActivities[Activity_Type],"Hired",tblActivities[Candidate_ID],Data_Model[[#This Row],[Candidate_ID]])),"")</f>
        <v/>
      </c>
      <c r="L196">
        <f>IF(Data_Model[[#This Row],[Submission_Date]]="",0,1)</f>
        <v>1</v>
      </c>
      <c r="M196">
        <f>IF(Data_Model[[#This Row],[Interview_Date]]="",0,1)</f>
        <v>1</v>
      </c>
      <c r="N196">
        <f>IF(Data_Model[[#This Row],[Hire_Date]]="",0,1)</f>
        <v>0</v>
      </c>
      <c r="O196">
        <f>IF(OR(Data_Model[ [#This Row],[Submission_Date] ]= "",Data_Model[[#This Row],[Resume_Date]] = "",Data_Model[[#This Row],[Submission_Date]] &lt; Data_Model[[#This Row],[Resume_Date]]), "",Data_Model[[#This Row],[Submission_Date]] - Data_Model[[#This Row],[Resume_Date]])</f>
        <v>18</v>
      </c>
      <c r="P196" t="str">
        <f>IF(OR(Data_Model[[#This Row],[Submission_Date]]="",Data_Model[[#This Row],[Interview_Date]]="",Data_Model[[#This Row],[Interview_Date]] &lt; Data_Model[[#This Row],[Submission_Date]]),"",Data_Model[[#This Row],[Interview_Date]]-Data_Model[[#This Row],[Submission_Date]])</f>
        <v/>
      </c>
      <c r="Q196" s="4" t="str">
        <f>IF(OR(Data_Model[[#This Row],[Submission_Date]]="",Data_Model[[#This Row],[Hire_Date]]="",Data_Model[[#This Row],[Hire_Date]] &lt; Data_Model[[#This Row],[Submission_Date]]),"",Data_Model[[#This Row],[Hire_Date]]-Data_Model[[#This Row],[Submission_Date]])</f>
        <v/>
      </c>
      <c r="R196" s="4">
        <f>IF(AND(Data_Model[[#This Row],[Submission_Flag]]=1,Data_Model[[#This Row],[Hire_Flag]]=1,Data_Model[[#This Row],[Hire_Date]]&lt;Data_Model[[#This Row],[Submission_Date]]),1,0)</f>
        <v>0</v>
      </c>
    </row>
    <row r="197" spans="1:18" x14ac:dyDescent="0.25">
      <c r="A197" t="s">
        <v>246</v>
      </c>
      <c r="B197" t="s">
        <v>22</v>
      </c>
      <c r="C197" t="s">
        <v>38</v>
      </c>
      <c r="D197" t="s">
        <v>52</v>
      </c>
      <c r="E197" s="2">
        <v>45658</v>
      </c>
      <c r="F197" t="s">
        <v>62</v>
      </c>
      <c r="G197">
        <v>9</v>
      </c>
      <c r="H197" t="s">
        <v>47</v>
      </c>
      <c r="I197"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45679</v>
      </c>
      <c r="J197"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97" s="2" t="str">
        <f>IFERROR(IF(_xlfn.MINIFS(tblActivities[Activity_Date],tblActivities[Activity_Type],"Hired",tblActivities[Candidate_ID],Data_Model[[#This Row],[Candidate_ID]])=0,"",_xlfn.MINIFS(tblActivities[Activity_Date],tblActivities[Activity_Type],"Hired",tblActivities[Candidate_ID],Data_Model[[#This Row],[Candidate_ID]])),"")</f>
        <v/>
      </c>
      <c r="L197">
        <f>IF(Data_Model[[#This Row],[Submission_Date]]="",0,1)</f>
        <v>1</v>
      </c>
      <c r="M197">
        <f>IF(Data_Model[[#This Row],[Interview_Date]]="",0,1)</f>
        <v>0</v>
      </c>
      <c r="N197">
        <f>IF(Data_Model[[#This Row],[Hire_Date]]="",0,1)</f>
        <v>0</v>
      </c>
      <c r="O197">
        <f>IF(OR(Data_Model[ [#This Row],[Submission_Date] ]= "",Data_Model[[#This Row],[Resume_Date]] = "",Data_Model[[#This Row],[Submission_Date]] &lt; Data_Model[[#This Row],[Resume_Date]]), "",Data_Model[[#This Row],[Submission_Date]] - Data_Model[[#This Row],[Resume_Date]])</f>
        <v>21</v>
      </c>
      <c r="P197" t="str">
        <f>IF(OR(Data_Model[[#This Row],[Submission_Date]]="",Data_Model[[#This Row],[Interview_Date]]="",Data_Model[[#This Row],[Interview_Date]] &lt; Data_Model[[#This Row],[Submission_Date]]),"",Data_Model[[#This Row],[Interview_Date]]-Data_Model[[#This Row],[Submission_Date]])</f>
        <v/>
      </c>
      <c r="Q197" s="4" t="str">
        <f>IF(OR(Data_Model[[#This Row],[Submission_Date]]="",Data_Model[[#This Row],[Hire_Date]]="",Data_Model[[#This Row],[Hire_Date]] &lt; Data_Model[[#This Row],[Submission_Date]]),"",Data_Model[[#This Row],[Hire_Date]]-Data_Model[[#This Row],[Submission_Date]])</f>
        <v/>
      </c>
      <c r="R197" s="4">
        <f>IF(AND(Data_Model[[#This Row],[Submission_Flag]]=1,Data_Model[[#This Row],[Hire_Flag]]=1,Data_Model[[#This Row],[Hire_Date]]&lt;Data_Model[[#This Row],[Submission_Date]]),1,0)</f>
        <v>0</v>
      </c>
    </row>
    <row r="198" spans="1:18" x14ac:dyDescent="0.25">
      <c r="A198" t="s">
        <v>247</v>
      </c>
      <c r="B198" t="s">
        <v>6</v>
      </c>
      <c r="C198" t="s">
        <v>33</v>
      </c>
      <c r="D198" t="s">
        <v>34</v>
      </c>
      <c r="E198" s="2">
        <v>45673</v>
      </c>
      <c r="F198" t="s">
        <v>40</v>
      </c>
      <c r="G198">
        <v>5</v>
      </c>
      <c r="H198" t="s">
        <v>57</v>
      </c>
      <c r="I198"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198"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198" s="2">
        <f>IFERROR(IF(_xlfn.MINIFS(tblActivities[Activity_Date],tblActivities[Activity_Type],"Hired",tblActivities[Candidate_ID],Data_Model[[#This Row],[Candidate_ID]])=0,"",_xlfn.MINIFS(tblActivities[Activity_Date],tblActivities[Activity_Type],"Hired",tblActivities[Candidate_ID],Data_Model[[#This Row],[Candidate_ID]])),"")</f>
        <v>45679</v>
      </c>
      <c r="L198">
        <f>IF(Data_Model[[#This Row],[Submission_Date]]="",0,1)</f>
        <v>0</v>
      </c>
      <c r="M198">
        <f>IF(Data_Model[[#This Row],[Interview_Date]]="",0,1)</f>
        <v>0</v>
      </c>
      <c r="N198">
        <f>IF(Data_Model[[#This Row],[Hire_Date]]="",0,1)</f>
        <v>1</v>
      </c>
      <c r="O198" t="str">
        <f>IF(OR(Data_Model[ [#This Row],[Submission_Date] ]= "",Data_Model[[#This Row],[Resume_Date]] = "",Data_Model[[#This Row],[Submission_Date]] &lt; Data_Model[[#This Row],[Resume_Date]]), "",Data_Model[[#This Row],[Submission_Date]] - Data_Model[[#This Row],[Resume_Date]])</f>
        <v/>
      </c>
      <c r="P198" t="str">
        <f>IF(OR(Data_Model[[#This Row],[Submission_Date]]="",Data_Model[[#This Row],[Interview_Date]]="",Data_Model[[#This Row],[Interview_Date]] &lt; Data_Model[[#This Row],[Submission_Date]]),"",Data_Model[[#This Row],[Interview_Date]]-Data_Model[[#This Row],[Submission_Date]])</f>
        <v/>
      </c>
      <c r="Q198" s="4" t="str">
        <f>IF(OR(Data_Model[[#This Row],[Submission_Date]]="",Data_Model[[#This Row],[Hire_Date]]="",Data_Model[[#This Row],[Hire_Date]] &lt; Data_Model[[#This Row],[Submission_Date]]),"",Data_Model[[#This Row],[Hire_Date]]-Data_Model[[#This Row],[Submission_Date]])</f>
        <v/>
      </c>
      <c r="R198" s="4">
        <f>IF(AND(Data_Model[[#This Row],[Submission_Flag]]=1,Data_Model[[#This Row],[Hire_Flag]]=1,Data_Model[[#This Row],[Hire_Date]]&lt;Data_Model[[#This Row],[Submission_Date]]),1,0)</f>
        <v>0</v>
      </c>
    </row>
    <row r="199" spans="1:18" x14ac:dyDescent="0.25">
      <c r="A199" t="s">
        <v>248</v>
      </c>
      <c r="B199" t="s">
        <v>17</v>
      </c>
      <c r="C199" t="s">
        <v>33</v>
      </c>
      <c r="D199" t="s">
        <v>50</v>
      </c>
      <c r="E199" s="2">
        <v>45658</v>
      </c>
      <c r="F199" t="s">
        <v>62</v>
      </c>
      <c r="G199">
        <v>4</v>
      </c>
      <c r="H199" t="s">
        <v>47</v>
      </c>
      <c r="I199"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45669</v>
      </c>
      <c r="J199"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45676</v>
      </c>
      <c r="K199" s="2" t="str">
        <f>IFERROR(IF(_xlfn.MINIFS(tblActivities[Activity_Date],tblActivities[Activity_Type],"Hired",tblActivities[Candidate_ID],Data_Model[[#This Row],[Candidate_ID]])=0,"",_xlfn.MINIFS(tblActivities[Activity_Date],tblActivities[Activity_Type],"Hired",tblActivities[Candidate_ID],Data_Model[[#This Row],[Candidate_ID]])),"")</f>
        <v/>
      </c>
      <c r="L199">
        <f>IF(Data_Model[[#This Row],[Submission_Date]]="",0,1)</f>
        <v>1</v>
      </c>
      <c r="M199">
        <f>IF(Data_Model[[#This Row],[Interview_Date]]="",0,1)</f>
        <v>1</v>
      </c>
      <c r="N199">
        <f>IF(Data_Model[[#This Row],[Hire_Date]]="",0,1)</f>
        <v>0</v>
      </c>
      <c r="O199">
        <f>IF(OR(Data_Model[ [#This Row],[Submission_Date] ]= "",Data_Model[[#This Row],[Resume_Date]] = "",Data_Model[[#This Row],[Submission_Date]] &lt; Data_Model[[#This Row],[Resume_Date]]), "",Data_Model[[#This Row],[Submission_Date]] - Data_Model[[#This Row],[Resume_Date]])</f>
        <v>11</v>
      </c>
      <c r="P199">
        <f>IF(OR(Data_Model[[#This Row],[Submission_Date]]="",Data_Model[[#This Row],[Interview_Date]]="",Data_Model[[#This Row],[Interview_Date]] &lt; Data_Model[[#This Row],[Submission_Date]]),"",Data_Model[[#This Row],[Interview_Date]]-Data_Model[[#This Row],[Submission_Date]])</f>
        <v>7</v>
      </c>
      <c r="Q199" s="4" t="str">
        <f>IF(OR(Data_Model[[#This Row],[Submission_Date]]="",Data_Model[[#This Row],[Hire_Date]]="",Data_Model[[#This Row],[Hire_Date]] &lt; Data_Model[[#This Row],[Submission_Date]]),"",Data_Model[[#This Row],[Hire_Date]]-Data_Model[[#This Row],[Submission_Date]])</f>
        <v/>
      </c>
      <c r="R199" s="4">
        <f>IF(AND(Data_Model[[#This Row],[Submission_Flag]]=1,Data_Model[[#This Row],[Hire_Flag]]=1,Data_Model[[#This Row],[Hire_Date]]&lt;Data_Model[[#This Row],[Submission_Date]]),1,0)</f>
        <v>0</v>
      </c>
    </row>
    <row r="200" spans="1:18" x14ac:dyDescent="0.25">
      <c r="A200" t="s">
        <v>249</v>
      </c>
      <c r="B200" t="s">
        <v>13</v>
      </c>
      <c r="C200" t="s">
        <v>45</v>
      </c>
      <c r="D200" t="s">
        <v>42</v>
      </c>
      <c r="E200" s="2">
        <v>45660</v>
      </c>
      <c r="F200" t="s">
        <v>64</v>
      </c>
      <c r="G200">
        <v>6</v>
      </c>
      <c r="H200" t="s">
        <v>36</v>
      </c>
      <c r="I200" s="2" t="str">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
      </c>
      <c r="J200" s="2" t="str">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
      </c>
      <c r="K200" s="2">
        <f>IFERROR(IF(_xlfn.MINIFS(tblActivities[Activity_Date],tblActivities[Activity_Type],"Hired",tblActivities[Candidate_ID],Data_Model[[#This Row],[Candidate_ID]])=0,"",_xlfn.MINIFS(tblActivities[Activity_Date],tblActivities[Activity_Type],"Hired",tblActivities[Candidate_ID],Data_Model[[#This Row],[Candidate_ID]])),"")</f>
        <v>45668</v>
      </c>
      <c r="L200">
        <f>IF(Data_Model[[#This Row],[Submission_Date]]="",0,1)</f>
        <v>0</v>
      </c>
      <c r="M200">
        <f>IF(Data_Model[[#This Row],[Interview_Date]]="",0,1)</f>
        <v>0</v>
      </c>
      <c r="N200">
        <f>IF(Data_Model[[#This Row],[Hire_Date]]="",0,1)</f>
        <v>1</v>
      </c>
      <c r="O200" t="str">
        <f>IF(OR(Data_Model[ [#This Row],[Submission_Date] ]= "",Data_Model[[#This Row],[Resume_Date]] = "",Data_Model[[#This Row],[Submission_Date]] &lt; Data_Model[[#This Row],[Resume_Date]]), "",Data_Model[[#This Row],[Submission_Date]] - Data_Model[[#This Row],[Resume_Date]])</f>
        <v/>
      </c>
      <c r="P200" t="str">
        <f>IF(OR(Data_Model[[#This Row],[Submission_Date]]="",Data_Model[[#This Row],[Interview_Date]]="",Data_Model[[#This Row],[Interview_Date]] &lt; Data_Model[[#This Row],[Submission_Date]]),"",Data_Model[[#This Row],[Interview_Date]]-Data_Model[[#This Row],[Submission_Date]])</f>
        <v/>
      </c>
      <c r="Q200" s="4" t="str">
        <f>IF(OR(Data_Model[[#This Row],[Submission_Date]]="",Data_Model[[#This Row],[Hire_Date]]="",Data_Model[[#This Row],[Hire_Date]] &lt; Data_Model[[#This Row],[Submission_Date]]),"",Data_Model[[#This Row],[Hire_Date]]-Data_Model[[#This Row],[Submission_Date]])</f>
        <v/>
      </c>
      <c r="R200" s="4">
        <f>IF(AND(Data_Model[[#This Row],[Submission_Flag]]=1,Data_Model[[#This Row],[Hire_Flag]]=1,Data_Model[[#This Row],[Hire_Date]]&lt;Data_Model[[#This Row],[Submission_Date]]),1,0)</f>
        <v>0</v>
      </c>
    </row>
    <row r="201" spans="1:18" x14ac:dyDescent="0.25">
      <c r="A201" t="s">
        <v>250</v>
      </c>
      <c r="B201" t="s">
        <v>16</v>
      </c>
      <c r="C201" t="s">
        <v>49</v>
      </c>
      <c r="D201" t="s">
        <v>34</v>
      </c>
      <c r="E201" s="2">
        <v>45658</v>
      </c>
      <c r="F201" t="s">
        <v>35</v>
      </c>
      <c r="G201">
        <v>8</v>
      </c>
      <c r="H201" t="s">
        <v>36</v>
      </c>
      <c r="I201" s="2">
        <f>IFERROR(IF(_xlfn.MINIFS(tblActivities[Activity_Date],tblActivities[Activity_Type],"Resume Submitted",tblActivities[Candidate_ID],Data_Model[[#This Row],[Candidate_ID]])=0,"",_xlfn.MINIFS(tblActivities[Activity_Date],tblActivities[Activity_Type],"Resume Submitted",tblActivities[Candidate_ID],Data_Model[[#This Row],[Candidate_ID]])),"")</f>
        <v>45683</v>
      </c>
      <c r="J201" s="2">
        <f>IFERROR(IF(_xlfn.MINIFS(tblActivities[Activity_Date],tblActivities[Activity_Type],"Interview Scheduled",tblActivities[Candidate_ID],Data_Model[[#This Row],[Candidate_ID]])=0,"",_xlfn.MINIFS(tblActivities[Activity_Date],tblActivities[Activity_Type],"Interview Scheduled",tblActivities[Candidate_ID],Data_Model[[#This Row],[Candidate_ID]])),"")</f>
        <v>45692</v>
      </c>
      <c r="K201" s="2" t="str">
        <f>IFERROR(IF(_xlfn.MINIFS(tblActivities[Activity_Date],tblActivities[Activity_Type],"Hired",tblActivities[Candidate_ID],Data_Model[[#This Row],[Candidate_ID]])=0,"",_xlfn.MINIFS(tblActivities[Activity_Date],tblActivities[Activity_Type],"Hired",tblActivities[Candidate_ID],Data_Model[[#This Row],[Candidate_ID]])),"")</f>
        <v/>
      </c>
      <c r="L201">
        <f>IF(Data_Model[[#This Row],[Submission_Date]]="",0,1)</f>
        <v>1</v>
      </c>
      <c r="M201">
        <f>IF(Data_Model[[#This Row],[Interview_Date]]="",0,1)</f>
        <v>1</v>
      </c>
      <c r="N201">
        <f>IF(Data_Model[[#This Row],[Hire_Date]]="",0,1)</f>
        <v>0</v>
      </c>
      <c r="O201">
        <f>IF(OR(Data_Model[ [#This Row],[Submission_Date] ]= "",Data_Model[[#This Row],[Resume_Date]] = "",Data_Model[[#This Row],[Submission_Date]] &lt; Data_Model[[#This Row],[Resume_Date]]), "",Data_Model[[#This Row],[Submission_Date]] - Data_Model[[#This Row],[Resume_Date]])</f>
        <v>25</v>
      </c>
      <c r="P201">
        <f>IF(OR(Data_Model[[#This Row],[Submission_Date]]="",Data_Model[[#This Row],[Interview_Date]]="",Data_Model[[#This Row],[Interview_Date]] &lt; Data_Model[[#This Row],[Submission_Date]]),"",Data_Model[[#This Row],[Interview_Date]]-Data_Model[[#This Row],[Submission_Date]])</f>
        <v>9</v>
      </c>
      <c r="Q201" s="4" t="str">
        <f>IF(OR(Data_Model[[#This Row],[Submission_Date]]="",Data_Model[[#This Row],[Hire_Date]]="",Data_Model[[#This Row],[Hire_Date]] &lt; Data_Model[[#This Row],[Submission_Date]]),"",Data_Model[[#This Row],[Hire_Date]]-Data_Model[[#This Row],[Submission_Date]])</f>
        <v/>
      </c>
      <c r="R201" s="4">
        <f>IF(AND(Data_Model[[#This Row],[Submission_Flag]]=1,Data_Model[[#This Row],[Hire_Flag]]=1,Data_Model[[#This Row],[Hire_Date]]&lt;Data_Model[[#This Row],[Submission_Date]]),1,0)</f>
        <v>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BBADB-EE62-43F0-932F-825C2C0D02FC}">
  <dimension ref="B2:E66"/>
  <sheetViews>
    <sheetView showGridLines="0" topLeftCell="A7" workbookViewId="0">
      <selection activeCell="F62" sqref="F62"/>
    </sheetView>
  </sheetViews>
  <sheetFormatPr defaultRowHeight="15" x14ac:dyDescent="0.25"/>
  <cols>
    <col min="1" max="1" width="3.7109375" customWidth="1"/>
    <col min="2" max="2" width="22.7109375" customWidth="1"/>
    <col min="3" max="3" width="21.7109375" customWidth="1"/>
    <col min="4" max="4" width="20.7109375" bestFit="1" customWidth="1"/>
    <col min="5" max="5" width="18.5703125" bestFit="1" customWidth="1"/>
  </cols>
  <sheetData>
    <row r="2" spans="2:4" ht="21" x14ac:dyDescent="0.25">
      <c r="B2" s="20" t="s">
        <v>751</v>
      </c>
      <c r="C2" s="20"/>
      <c r="D2" s="20"/>
    </row>
    <row r="4" spans="2:4" x14ac:dyDescent="0.25">
      <c r="B4" s="7" t="s">
        <v>763</v>
      </c>
      <c r="C4" s="7" t="s">
        <v>764</v>
      </c>
      <c r="D4" s="7" t="s">
        <v>765</v>
      </c>
    </row>
    <row r="5" spans="2:4" x14ac:dyDescent="0.25">
      <c r="B5" s="4">
        <v>101</v>
      </c>
      <c r="C5" s="4">
        <v>97</v>
      </c>
      <c r="D5" s="4">
        <v>93</v>
      </c>
    </row>
    <row r="8" spans="2:4" x14ac:dyDescent="0.25">
      <c r="B8" s="8" t="s">
        <v>754</v>
      </c>
      <c r="C8" s="9" t="s">
        <v>755</v>
      </c>
    </row>
    <row r="9" spans="2:4" x14ac:dyDescent="0.25">
      <c r="B9" t="s">
        <v>752</v>
      </c>
      <c r="C9">
        <f>GETPIVOTDATA("Submission_Flag",B4)</f>
        <v>101</v>
      </c>
    </row>
    <row r="10" spans="2:4" x14ac:dyDescent="0.25">
      <c r="B10" t="s">
        <v>753</v>
      </c>
      <c r="C10">
        <f>GETPIVOTDATA("Interview_Flag",C4)</f>
        <v>97</v>
      </c>
    </row>
    <row r="11" spans="2:4" x14ac:dyDescent="0.25">
      <c r="B11" t="s">
        <v>46</v>
      </c>
      <c r="C11">
        <f>GETPIVOTDATA("Hire_Flag",D4)</f>
        <v>93</v>
      </c>
    </row>
    <row r="17" spans="2:5" ht="21" x14ac:dyDescent="0.25">
      <c r="B17" s="17" t="s">
        <v>750</v>
      </c>
      <c r="C17" s="18"/>
      <c r="D17" s="18"/>
      <c r="E17" s="19"/>
    </row>
    <row r="19" spans="2:5" x14ac:dyDescent="0.25">
      <c r="B19" s="10" t="s">
        <v>26</v>
      </c>
      <c r="C19" s="7" t="s">
        <v>760</v>
      </c>
      <c r="D19" s="7" t="s">
        <v>761</v>
      </c>
      <c r="E19" s="7" t="s">
        <v>762</v>
      </c>
    </row>
    <row r="20" spans="2:5" x14ac:dyDescent="0.25">
      <c r="B20" s="5" t="s">
        <v>45</v>
      </c>
      <c r="C20" s="6">
        <v>15.333333333333334</v>
      </c>
      <c r="D20" s="6">
        <v>2.4</v>
      </c>
      <c r="E20" s="6">
        <v>2.6666666666666665</v>
      </c>
    </row>
    <row r="21" spans="2:5" x14ac:dyDescent="0.25">
      <c r="B21" s="5" t="s">
        <v>33</v>
      </c>
      <c r="C21" s="6">
        <v>9.9642857142857135</v>
      </c>
      <c r="D21" s="6">
        <v>4.0714285714285712</v>
      </c>
      <c r="E21" s="6">
        <v>4.5</v>
      </c>
    </row>
    <row r="22" spans="2:5" x14ac:dyDescent="0.25">
      <c r="B22" s="5" t="s">
        <v>49</v>
      </c>
      <c r="C22" s="6">
        <v>9.7222222222222214</v>
      </c>
      <c r="D22" s="6">
        <v>5.1428571428571432</v>
      </c>
      <c r="E22" s="6">
        <v>2.8571428571428572</v>
      </c>
    </row>
    <row r="23" spans="2:5" x14ac:dyDescent="0.25">
      <c r="B23" s="5" t="s">
        <v>38</v>
      </c>
      <c r="C23" s="6">
        <v>13.333333333333334</v>
      </c>
      <c r="D23" s="6">
        <v>3.6666666666666665</v>
      </c>
      <c r="E23" s="6">
        <v>4.8</v>
      </c>
    </row>
    <row r="24" spans="2:5" x14ac:dyDescent="0.25">
      <c r="B24" s="5" t="s">
        <v>747</v>
      </c>
      <c r="C24" s="6">
        <v>11.952941176470588</v>
      </c>
      <c r="D24" s="6">
        <v>4</v>
      </c>
      <c r="E24" s="6">
        <v>3.88</v>
      </c>
    </row>
    <row r="30" spans="2:5" ht="21" x14ac:dyDescent="0.25">
      <c r="B30" s="17" t="s">
        <v>748</v>
      </c>
      <c r="C30" s="18"/>
      <c r="D30" s="18"/>
      <c r="E30" s="19"/>
    </row>
    <row r="32" spans="2:5" x14ac:dyDescent="0.25">
      <c r="B32" s="10" t="s">
        <v>26</v>
      </c>
      <c r="C32" s="7" t="s">
        <v>756</v>
      </c>
      <c r="D32" s="7" t="s">
        <v>757</v>
      </c>
      <c r="E32" s="7" t="s">
        <v>758</v>
      </c>
    </row>
    <row r="33" spans="2:5" x14ac:dyDescent="0.25">
      <c r="B33" s="5" t="s">
        <v>45</v>
      </c>
      <c r="C33" s="4">
        <v>52</v>
      </c>
      <c r="D33" s="4">
        <v>21</v>
      </c>
      <c r="E33" s="6">
        <v>2.6666666666666665</v>
      </c>
    </row>
    <row r="34" spans="2:5" x14ac:dyDescent="0.25">
      <c r="B34" s="5" t="s">
        <v>33</v>
      </c>
      <c r="C34" s="4">
        <v>59</v>
      </c>
      <c r="D34" s="4">
        <v>29</v>
      </c>
      <c r="E34" s="6">
        <v>4.5</v>
      </c>
    </row>
    <row r="35" spans="2:5" x14ac:dyDescent="0.25">
      <c r="B35" s="5" t="s">
        <v>49</v>
      </c>
      <c r="C35" s="4">
        <v>41</v>
      </c>
      <c r="D35" s="4">
        <v>22</v>
      </c>
      <c r="E35" s="6">
        <v>2.8571428571428572</v>
      </c>
    </row>
    <row r="36" spans="2:5" x14ac:dyDescent="0.25">
      <c r="B36" s="5" t="s">
        <v>38</v>
      </c>
      <c r="C36" s="4">
        <v>48</v>
      </c>
      <c r="D36" s="4">
        <v>21</v>
      </c>
      <c r="E36" s="6">
        <v>4.8</v>
      </c>
    </row>
    <row r="37" spans="2:5" x14ac:dyDescent="0.25">
      <c r="B37" s="5" t="s">
        <v>747</v>
      </c>
      <c r="C37" s="4">
        <v>200</v>
      </c>
      <c r="D37" s="4">
        <v>93</v>
      </c>
      <c r="E37" s="6">
        <v>3.88</v>
      </c>
    </row>
    <row r="43" spans="2:5" ht="21" x14ac:dyDescent="0.25">
      <c r="B43" s="17" t="s">
        <v>749</v>
      </c>
      <c r="C43" s="18"/>
      <c r="D43" s="18"/>
      <c r="E43" s="19"/>
    </row>
    <row r="45" spans="2:5" x14ac:dyDescent="0.25">
      <c r="B45" s="10" t="s">
        <v>27</v>
      </c>
      <c r="C45" s="7" t="s">
        <v>756</v>
      </c>
      <c r="D45" s="7" t="s">
        <v>757</v>
      </c>
      <c r="E45" s="7" t="s">
        <v>760</v>
      </c>
    </row>
    <row r="46" spans="2:5" x14ac:dyDescent="0.25">
      <c r="B46" s="5" t="s">
        <v>39</v>
      </c>
      <c r="C46" s="4">
        <v>37</v>
      </c>
      <c r="D46" s="4">
        <v>22</v>
      </c>
      <c r="E46" s="6">
        <v>8.615384615384615</v>
      </c>
    </row>
    <row r="47" spans="2:5" x14ac:dyDescent="0.25">
      <c r="B47" s="5" t="s">
        <v>50</v>
      </c>
      <c r="C47" s="4">
        <v>46</v>
      </c>
      <c r="D47" s="4">
        <v>23</v>
      </c>
      <c r="E47" s="6">
        <v>14.227272727272727</v>
      </c>
    </row>
    <row r="48" spans="2:5" x14ac:dyDescent="0.25">
      <c r="B48" s="5" t="s">
        <v>34</v>
      </c>
      <c r="C48" s="4">
        <v>37</v>
      </c>
      <c r="D48" s="4">
        <v>12</v>
      </c>
      <c r="E48" s="6">
        <v>11.722222222222221</v>
      </c>
    </row>
    <row r="49" spans="2:5" x14ac:dyDescent="0.25">
      <c r="B49" s="5" t="s">
        <v>42</v>
      </c>
      <c r="C49" s="4">
        <v>37</v>
      </c>
      <c r="D49" s="4">
        <v>19</v>
      </c>
      <c r="E49" s="6">
        <v>8.1818181818181817</v>
      </c>
    </row>
    <row r="50" spans="2:5" x14ac:dyDescent="0.25">
      <c r="B50" s="5" t="s">
        <v>52</v>
      </c>
      <c r="C50" s="4">
        <v>43</v>
      </c>
      <c r="D50" s="4">
        <v>17</v>
      </c>
      <c r="E50" s="6">
        <v>13.80952380952381</v>
      </c>
    </row>
    <row r="51" spans="2:5" x14ac:dyDescent="0.25">
      <c r="B51" s="5" t="s">
        <v>747</v>
      </c>
      <c r="C51" s="4">
        <v>200</v>
      </c>
      <c r="D51" s="4">
        <v>93</v>
      </c>
      <c r="E51" s="6">
        <v>11.952941176470588</v>
      </c>
    </row>
    <row r="57" spans="2:5" ht="21" x14ac:dyDescent="0.25">
      <c r="B57" s="17" t="s">
        <v>759</v>
      </c>
      <c r="C57" s="19"/>
    </row>
    <row r="59" spans="2:5" x14ac:dyDescent="0.25">
      <c r="B59" s="13" t="s">
        <v>29</v>
      </c>
      <c r="C59" s="14" t="s">
        <v>756</v>
      </c>
    </row>
    <row r="60" spans="2:5" x14ac:dyDescent="0.25">
      <c r="B60" s="5" t="s">
        <v>64</v>
      </c>
      <c r="C60" s="4">
        <v>29</v>
      </c>
    </row>
    <row r="61" spans="2:5" x14ac:dyDescent="0.25">
      <c r="B61" s="5" t="s">
        <v>40</v>
      </c>
      <c r="C61" s="4">
        <v>34</v>
      </c>
    </row>
    <row r="62" spans="2:5" x14ac:dyDescent="0.25">
      <c r="B62" s="5" t="s">
        <v>43</v>
      </c>
      <c r="C62" s="4">
        <v>34</v>
      </c>
    </row>
    <row r="63" spans="2:5" x14ac:dyDescent="0.25">
      <c r="B63" s="5" t="s">
        <v>35</v>
      </c>
      <c r="C63" s="4">
        <v>28</v>
      </c>
    </row>
    <row r="64" spans="2:5" x14ac:dyDescent="0.25">
      <c r="B64" s="5" t="s">
        <v>46</v>
      </c>
      <c r="C64" s="4">
        <v>39</v>
      </c>
    </row>
    <row r="65" spans="2:3" x14ac:dyDescent="0.25">
      <c r="B65" s="5" t="s">
        <v>62</v>
      </c>
      <c r="C65" s="4">
        <v>36</v>
      </c>
    </row>
    <row r="66" spans="2:3" x14ac:dyDescent="0.25">
      <c r="B66" s="5" t="s">
        <v>747</v>
      </c>
      <c r="C66" s="4">
        <v>200</v>
      </c>
    </row>
  </sheetData>
  <mergeCells count="5">
    <mergeCell ref="B30:E30"/>
    <mergeCell ref="B43:E43"/>
    <mergeCell ref="B17:E17"/>
    <mergeCell ref="B57:C57"/>
    <mergeCell ref="B2:D2"/>
  </mergeCell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17F51-2E3F-4871-A825-E6FD8620D71A}">
  <dimension ref="B2:D51"/>
  <sheetViews>
    <sheetView showGridLines="0" topLeftCell="A31" workbookViewId="0">
      <selection activeCell="G47" sqref="G47"/>
    </sheetView>
  </sheetViews>
  <sheetFormatPr defaultRowHeight="15" x14ac:dyDescent="0.25"/>
  <cols>
    <col min="1" max="1" width="3.7109375" customWidth="1"/>
    <col min="2" max="2" width="11.28515625" bestFit="1" customWidth="1"/>
    <col min="3" max="3" width="26.140625" bestFit="1" customWidth="1"/>
    <col min="4" max="4" width="23.42578125" bestFit="1" customWidth="1"/>
    <col min="5" max="5" width="14.28515625" bestFit="1" customWidth="1"/>
  </cols>
  <sheetData>
    <row r="2" spans="2:4" ht="21" x14ac:dyDescent="0.35">
      <c r="B2" s="21" t="s">
        <v>770</v>
      </c>
      <c r="C2" s="22"/>
      <c r="D2" s="23"/>
    </row>
    <row r="4" spans="2:4" x14ac:dyDescent="0.25">
      <c r="B4" s="14" t="s">
        <v>763</v>
      </c>
      <c r="C4" s="14" t="s">
        <v>764</v>
      </c>
      <c r="D4" s="14" t="s">
        <v>765</v>
      </c>
    </row>
    <row r="5" spans="2:4" x14ac:dyDescent="0.25">
      <c r="B5" s="4">
        <v>101</v>
      </c>
      <c r="C5" s="4">
        <v>97</v>
      </c>
      <c r="D5" s="4">
        <v>93</v>
      </c>
    </row>
    <row r="8" spans="2:4" x14ac:dyDescent="0.25">
      <c r="B8" s="8" t="s">
        <v>754</v>
      </c>
      <c r="C8" s="9" t="s">
        <v>755</v>
      </c>
    </row>
    <row r="9" spans="2:4" x14ac:dyDescent="0.25">
      <c r="B9" t="s">
        <v>752</v>
      </c>
      <c r="C9">
        <f>GETPIVOTDATA("Submission_Flag",B4)</f>
        <v>101</v>
      </c>
    </row>
    <row r="10" spans="2:4" x14ac:dyDescent="0.25">
      <c r="B10" t="s">
        <v>753</v>
      </c>
      <c r="C10">
        <f>GETPIVOTDATA("Interview_Flag",C4)</f>
        <v>97</v>
      </c>
    </row>
    <row r="11" spans="2:4" x14ac:dyDescent="0.25">
      <c r="B11" t="s">
        <v>46</v>
      </c>
      <c r="C11">
        <f>GETPIVOTDATA("Hire_Flag",D4)</f>
        <v>93</v>
      </c>
    </row>
    <row r="17" spans="2:3" ht="21" x14ac:dyDescent="0.35">
      <c r="B17" s="21" t="s">
        <v>771</v>
      </c>
      <c r="C17" s="23"/>
    </row>
    <row r="19" spans="2:3" x14ac:dyDescent="0.25">
      <c r="B19" s="15" t="s">
        <v>26</v>
      </c>
      <c r="C19" s="16" t="s">
        <v>757</v>
      </c>
    </row>
    <row r="20" spans="2:3" x14ac:dyDescent="0.25">
      <c r="B20" s="5" t="s">
        <v>33</v>
      </c>
      <c r="C20" s="4">
        <v>29</v>
      </c>
    </row>
    <row r="21" spans="2:3" x14ac:dyDescent="0.25">
      <c r="B21" s="5" t="s">
        <v>49</v>
      </c>
      <c r="C21" s="4">
        <v>22</v>
      </c>
    </row>
    <row r="22" spans="2:3" x14ac:dyDescent="0.25">
      <c r="B22" s="5" t="s">
        <v>38</v>
      </c>
      <c r="C22" s="4">
        <v>21</v>
      </c>
    </row>
    <row r="23" spans="2:3" x14ac:dyDescent="0.25">
      <c r="B23" s="5" t="s">
        <v>45</v>
      </c>
      <c r="C23" s="4">
        <v>21</v>
      </c>
    </row>
    <row r="24" spans="2:3" x14ac:dyDescent="0.25">
      <c r="B24" s="5" t="s">
        <v>747</v>
      </c>
      <c r="C24" s="4">
        <v>93</v>
      </c>
    </row>
    <row r="30" spans="2:3" ht="21" x14ac:dyDescent="0.25">
      <c r="B30" s="24" t="s">
        <v>772</v>
      </c>
      <c r="C30" s="25"/>
    </row>
    <row r="32" spans="2:3" x14ac:dyDescent="0.25">
      <c r="B32" s="12" t="s">
        <v>27</v>
      </c>
      <c r="C32" s="16" t="s">
        <v>757</v>
      </c>
    </row>
    <row r="33" spans="2:4" x14ac:dyDescent="0.25">
      <c r="B33" s="5" t="s">
        <v>34</v>
      </c>
      <c r="C33" s="4">
        <v>12</v>
      </c>
    </row>
    <row r="34" spans="2:4" x14ac:dyDescent="0.25">
      <c r="B34" s="5" t="s">
        <v>52</v>
      </c>
      <c r="C34" s="4">
        <v>17</v>
      </c>
    </row>
    <row r="35" spans="2:4" x14ac:dyDescent="0.25">
      <c r="B35" s="5" t="s">
        <v>42</v>
      </c>
      <c r="C35" s="4">
        <v>19</v>
      </c>
    </row>
    <row r="36" spans="2:4" x14ac:dyDescent="0.25">
      <c r="B36" s="5" t="s">
        <v>39</v>
      </c>
      <c r="C36" s="4">
        <v>22</v>
      </c>
    </row>
    <row r="37" spans="2:4" x14ac:dyDescent="0.25">
      <c r="B37" s="5" t="s">
        <v>50</v>
      </c>
      <c r="C37" s="4">
        <v>23</v>
      </c>
    </row>
    <row r="38" spans="2:4" x14ac:dyDescent="0.25">
      <c r="B38" s="5" t="s">
        <v>747</v>
      </c>
      <c r="C38" s="4">
        <v>93</v>
      </c>
    </row>
    <row r="44" spans="2:4" ht="21" x14ac:dyDescent="0.25">
      <c r="B44" s="24" t="s">
        <v>773</v>
      </c>
      <c r="C44" s="26"/>
      <c r="D44" s="25"/>
    </row>
    <row r="46" spans="2:4" x14ac:dyDescent="0.25">
      <c r="B46" s="15" t="s">
        <v>27</v>
      </c>
      <c r="C46" t="s">
        <v>774</v>
      </c>
      <c r="D46" t="s">
        <v>775</v>
      </c>
    </row>
    <row r="47" spans="2:4" x14ac:dyDescent="0.25">
      <c r="B47" s="5" t="s">
        <v>45</v>
      </c>
      <c r="C47" s="6">
        <v>15.333333333333334</v>
      </c>
      <c r="D47" s="6">
        <v>2.6666666666666665</v>
      </c>
    </row>
    <row r="48" spans="2:4" x14ac:dyDescent="0.25">
      <c r="B48" s="5" t="s">
        <v>33</v>
      </c>
      <c r="C48" s="6">
        <v>9.9642857142857135</v>
      </c>
      <c r="D48" s="6">
        <v>4.5</v>
      </c>
    </row>
    <row r="49" spans="2:4" x14ac:dyDescent="0.25">
      <c r="B49" s="5" t="s">
        <v>49</v>
      </c>
      <c r="C49" s="6">
        <v>9.7222222222222214</v>
      </c>
      <c r="D49" s="6">
        <v>2.8571428571428572</v>
      </c>
    </row>
    <row r="50" spans="2:4" x14ac:dyDescent="0.25">
      <c r="B50" s="5" t="s">
        <v>38</v>
      </c>
      <c r="C50" s="6">
        <v>13.333333333333334</v>
      </c>
      <c r="D50" s="6">
        <v>4.8</v>
      </c>
    </row>
    <row r="51" spans="2:4" x14ac:dyDescent="0.25">
      <c r="B51" s="5" t="s">
        <v>747</v>
      </c>
      <c r="C51" s="6">
        <v>11.952941176470588</v>
      </c>
      <c r="D51" s="6">
        <v>3.88</v>
      </c>
    </row>
  </sheetData>
  <mergeCells count="4">
    <mergeCell ref="B2:D2"/>
    <mergeCell ref="B17:C17"/>
    <mergeCell ref="B30:C30"/>
    <mergeCell ref="B44:D44"/>
  </mergeCells>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B53F-977A-486B-A31E-606A33F04668}">
  <dimension ref="B1:J30"/>
  <sheetViews>
    <sheetView showGridLines="0" tabSelected="1" topLeftCell="A22" zoomScale="82" zoomScaleNormal="82" workbookViewId="0">
      <selection activeCell="L15" sqref="L15"/>
    </sheetView>
  </sheetViews>
  <sheetFormatPr defaultRowHeight="15" x14ac:dyDescent="0.25"/>
  <cols>
    <col min="1" max="1" width="2.7109375" customWidth="1"/>
    <col min="2" max="5" width="18.7109375" customWidth="1"/>
    <col min="6" max="6" width="3.7109375" customWidth="1"/>
    <col min="7" max="10" width="18.7109375" customWidth="1"/>
    <col min="11" max="11" width="2.7109375" customWidth="1"/>
    <col min="12" max="12" width="20.7109375" customWidth="1"/>
  </cols>
  <sheetData>
    <row r="1" spans="2:10" ht="6" customHeight="1" x14ac:dyDescent="0.25"/>
    <row r="2" spans="2:10" ht="20.100000000000001" customHeight="1" x14ac:dyDescent="0.25">
      <c r="B2" s="30" t="s">
        <v>766</v>
      </c>
      <c r="C2" s="31"/>
      <c r="D2" s="31"/>
      <c r="E2" s="32"/>
      <c r="G2" s="30" t="s">
        <v>767</v>
      </c>
      <c r="H2" s="31"/>
      <c r="I2" s="31"/>
      <c r="J2" s="32"/>
    </row>
    <row r="3" spans="2:10" ht="39.950000000000003" customHeight="1" x14ac:dyDescent="0.25">
      <c r="B3" s="27">
        <f>COUNTA(tblCandidates[Candidate_ID])</f>
        <v>200</v>
      </c>
      <c r="C3" s="28"/>
      <c r="D3" s="28"/>
      <c r="E3" s="29"/>
      <c r="G3" s="27">
        <f>SUM(Data_Model[Hire_Flag])</f>
        <v>93</v>
      </c>
      <c r="H3" s="28"/>
      <c r="I3" s="28"/>
      <c r="J3" s="29"/>
    </row>
    <row r="4" spans="2:10" ht="6" customHeight="1" x14ac:dyDescent="0.25">
      <c r="H4" s="11"/>
      <c r="I4" s="11"/>
    </row>
    <row r="5" spans="2:10" ht="6" customHeight="1" x14ac:dyDescent="0.25">
      <c r="H5" s="11"/>
      <c r="I5" s="11"/>
    </row>
    <row r="6" spans="2:10" ht="30" customHeight="1" x14ac:dyDescent="0.25">
      <c r="B6" s="30" t="s">
        <v>769</v>
      </c>
      <c r="C6" s="31"/>
      <c r="D6" s="31"/>
      <c r="E6" s="32"/>
      <c r="G6" s="30" t="s">
        <v>768</v>
      </c>
      <c r="H6" s="31"/>
      <c r="I6" s="31"/>
      <c r="J6" s="32"/>
    </row>
    <row r="7" spans="2:10" ht="30" customHeight="1" x14ac:dyDescent="0.25">
      <c r="B7" s="27">
        <f>ROUND(AVERAGE(Data_Model[Days_To_Submit]),0)</f>
        <v>12</v>
      </c>
      <c r="C7" s="28"/>
      <c r="D7" s="28"/>
      <c r="E7" s="29"/>
      <c r="G7" s="27">
        <f>ROUND(AVERAGE(Data_Model[Time_to_Hire]),0)</f>
        <v>4</v>
      </c>
      <c r="H7" s="28"/>
      <c r="I7" s="28"/>
      <c r="J7" s="29"/>
    </row>
    <row r="8" spans="2:10" ht="30" customHeight="1" x14ac:dyDescent="0.25"/>
    <row r="9" spans="2:10" ht="30" customHeight="1" x14ac:dyDescent="0.25"/>
    <row r="10" spans="2:10" ht="9.9499999999999993" customHeight="1" x14ac:dyDescent="0.25"/>
    <row r="11" spans="2:10" ht="24" customHeight="1" x14ac:dyDescent="0.25"/>
    <row r="12" spans="2:10" ht="24" customHeight="1" x14ac:dyDescent="0.25"/>
    <row r="13" spans="2:10" ht="24" customHeight="1" x14ac:dyDescent="0.25"/>
    <row r="14" spans="2:10" ht="24" customHeight="1" x14ac:dyDescent="0.25"/>
    <row r="15" spans="2:10" ht="24" customHeight="1" x14ac:dyDescent="0.25"/>
    <row r="16" spans="2:10"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4" customHeight="1" x14ac:dyDescent="0.25"/>
    <row r="26" ht="24" customHeight="1" x14ac:dyDescent="0.25"/>
    <row r="27" ht="24" customHeight="1" x14ac:dyDescent="0.25"/>
    <row r="28" ht="24" customHeight="1" x14ac:dyDescent="0.25"/>
    <row r="29" ht="24" customHeight="1" x14ac:dyDescent="0.25"/>
    <row r="30" ht="24" customHeight="1" x14ac:dyDescent="0.25"/>
  </sheetData>
  <mergeCells count="8">
    <mergeCell ref="B7:E7"/>
    <mergeCell ref="G6:J6"/>
    <mergeCell ref="G7:J7"/>
    <mergeCell ref="B2:E2"/>
    <mergeCell ref="B3:E3"/>
    <mergeCell ref="G2:J2"/>
    <mergeCell ref="G3:J3"/>
    <mergeCell ref="B6:E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Raw_Data_Reqs</vt:lpstr>
      <vt:lpstr>Raw_Data_Candidates</vt:lpstr>
      <vt:lpstr>Raw_Data_Activities</vt:lpstr>
      <vt:lpstr>Lookup_Tables</vt:lpstr>
      <vt:lpstr>Data_Model</vt:lpstr>
      <vt:lpstr>Pivot_Backend</vt:lpstr>
      <vt:lpstr>Pivot_Charts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Gowda Patil</cp:lastModifiedBy>
  <dcterms:created xsi:type="dcterms:W3CDTF">2026-01-07T11:51:49Z</dcterms:created>
  <dcterms:modified xsi:type="dcterms:W3CDTF">2026-01-20T18:04:02Z</dcterms:modified>
</cp:coreProperties>
</file>